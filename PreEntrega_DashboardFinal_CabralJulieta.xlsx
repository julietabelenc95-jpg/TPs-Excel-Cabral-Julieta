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tables/table4.xml" ContentType="application/vnd.openxmlformats-officedocument.spreadsheetml.table+xml"/>
  <Override PartName="/xl/queryTables/queryTable1.xml" ContentType="application/vnd.openxmlformats-officedocument.spreadsheetml.queryTable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PS EXCEL\"/>
    </mc:Choice>
  </mc:AlternateContent>
  <xr:revisionPtr revIDLastSave="0" documentId="8_{366BC598-A15E-41FF-9C7E-39EA897B6E41}" xr6:coauthVersionLast="47" xr6:coauthVersionMax="47" xr10:uidLastSave="{00000000-0000-0000-0000-000000000000}"/>
  <bookViews>
    <workbookView xWindow="-120" yWindow="-120" windowWidth="20730" windowHeight="11040" firstSheet="8" activeTab="10" xr2:uid="{727BCBFB-B86D-4095-894D-C05B02D55B7D}"/>
  </bookViews>
  <sheets>
    <sheet name="Dim_Clientes" sheetId="2" r:id="rId1"/>
    <sheet name="Dim_Productos" sheetId="3" r:id="rId2"/>
    <sheet name="Dim_Calendario" sheetId="4" r:id="rId3"/>
    <sheet name="Hoja6" sheetId="6" r:id="rId4"/>
    <sheet name="Resumen del escenario" sheetId="8" r:id="rId5"/>
    <sheet name="Resumen_EscenariosSIMULACIÓN DE" sheetId="7" r:id="rId6"/>
    <sheet name="Estadistica_DescriptivaVenta_To" sheetId="5" r:id="rId7"/>
    <sheet name="Hoja3" sheetId="10" r:id="rId8"/>
    <sheet name="Hoja4" sheetId="11" r:id="rId9"/>
    <sheet name="Dashboard Final" sheetId="9" r:id="rId10"/>
    <sheet name="IA_Analisis" sheetId="12" r:id="rId11"/>
  </sheets>
  <definedNames>
    <definedName name="_xlchart.v1.0" hidden="1">'Dashboard Final'!$A$62:$A$64</definedName>
    <definedName name="_xlchart.v1.1" hidden="1">'Dashboard Final'!$B$61</definedName>
    <definedName name="_xlchart.v1.2" hidden="1">'Dashboard Final'!$B$62:$B$64</definedName>
    <definedName name="_xlchart.v1.3" hidden="1">'Dashboard Final'!$A$62:$A$64</definedName>
    <definedName name="_xlchart.v1.4" hidden="1">'Dashboard Final'!$B$61</definedName>
    <definedName name="_xlchart.v1.5" hidden="1">'Dashboard Final'!$B$62:$B$64</definedName>
    <definedName name="_xlcn.WorksheetConnection_PreEntrega_ModeloBI_CabralJulieta.xlsxTabla11" hidden="1">Tabla1[]</definedName>
    <definedName name="_xlcn.WorksheetConnection_PreEntrega_ModeloBI_CabralJulieta.xlsxTabla21" hidden="1">Tabla2[]</definedName>
    <definedName name="_xlcn.WorksheetConnection_PreEntrega_ModeloBI_CabralJulieta.xlsxTabla41" hidden="1">Tabla4[]</definedName>
    <definedName name="DatosExternos_1" localSheetId="9" hidden="1">'Dashboard Final'!$D$8:$L$28</definedName>
    <definedName name="SegmentaciónDeDatos_Fecha">#N/A</definedName>
    <definedName name="SegmentaciónDeDatos_ID_Producto">#N/A</definedName>
    <definedName name="SegmentaciónDeDatos_Region">#N/A</definedName>
  </definedNames>
  <calcPr calcId="191029"/>
  <pivotCaches>
    <pivotCache cacheId="6" r:id="rId12"/>
  </pivotCaches>
  <extLst>
    <ext xmlns:x14="http://schemas.microsoft.com/office/spreadsheetml/2009/9/main" uri="{BBE1A952-AA13-448e-AADC-164F8A28A991}">
      <x14:slicerCaches>
        <x14:slicerCache r:id="rId13"/>
        <x14:slicerCache r:id="rId14"/>
        <x14:slicerCache r:id="rId15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Ventas_Fuente_987ee795-d30b-48bf-a049-db7cf12f3674" name="Ventas_Fuente" connection="Consulta - Ventas_Fuente"/>
          <x15:modelTable id="Tabla4" name="Tabla4" connection="WorksheetConnection_PreEntrega_ModeloBI_CabralJulieta.xlsx!Tabla4"/>
          <x15:modelTable id="Tabla2" name="Tabla2" connection="WorksheetConnection_PreEntrega_ModeloBI_CabralJulieta.xlsx!Tabla2"/>
          <x15:modelTable id="Tabla1" name="Tabla1" connection="WorksheetConnection_PreEntrega_ModeloBI_CabralJulieta.xlsx!Tabla1"/>
        </x15:modelTables>
        <x15:modelRelationships>
          <x15:modelRelationship fromTable="Ventas_Fuente" fromColumn="ID_Cliente" toTable="Tabla1" toColumn="Cliente"/>
          <x15:modelRelationship fromTable="Ventas_Fuente" fromColumn="ID_Producto" toTable="Tabla2" toColumn="Producto"/>
          <x15:modelRelationship fromTable="Tabla4" fromColumn="Fecha" toTable="Ventas_Fuente" toColumn="Fecha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5" i="7" l="1"/>
  <c r="B6" i="7" s="1"/>
  <c r="B3" i="4" l="1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2" i="4"/>
  <c r="A121" i="4"/>
  <c r="A40" i="4"/>
  <c r="A41" i="4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4" i="4"/>
  <c r="A5" i="4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3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EE3BD84-D8AC-4859-AD70-B02EBC98C758}" name="Consulta - Ventas_Fuente" description="Conexión a la consulta 'Ventas_Fuente' en el libro." type="100" refreshedVersion="8" minRefreshableVersion="5">
    <extLst>
      <ext xmlns:x15="http://schemas.microsoft.com/office/spreadsheetml/2010/11/main" uri="{DE250136-89BD-433C-8126-D09CA5730AF9}">
        <x15:connection id="6d1ec271-f47a-416c-8177-9c4c5db40ddc"/>
      </ext>
    </extLst>
  </connection>
  <connection id="2" xr16:uid="{8C305F3D-1355-4D1C-B3AC-0C7C6D5C6F11}" keepAlive="1" name="ModelConnection_DatosExternos_1" description="Modelo de datos" type="5" refreshedVersion="8" minRefreshableVersion="5" saveData="1">
    <dbPr connection="Data Model Connection" command="Ventas_Fuente" commandType="3"/>
    <extLst>
      <ext xmlns:x15="http://schemas.microsoft.com/office/spreadsheetml/2010/11/main" uri="{DE250136-89BD-433C-8126-D09CA5730AF9}">
        <x15:connection id="" model="1"/>
      </ext>
    </extLst>
  </connection>
  <connection id="3" xr16:uid="{00FD2BFA-63D2-46E7-BEBA-33869DB8A3F7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4" xr16:uid="{035D6F1C-A7F4-4ECA-BBA2-8719FDFD05B1}" name="WorksheetConnection_PreEntrega_ModeloBI_CabralJulieta.xlsx!Tabla1" type="102" refreshedVersion="8" minRefreshableVersion="5">
    <extLst>
      <ext xmlns:x15="http://schemas.microsoft.com/office/spreadsheetml/2010/11/main" uri="{DE250136-89BD-433C-8126-D09CA5730AF9}">
        <x15:connection id="Tabla1">
          <x15:rangePr sourceName="_xlcn.WorksheetConnection_PreEntrega_ModeloBI_CabralJulieta.xlsxTabla11"/>
        </x15:connection>
      </ext>
    </extLst>
  </connection>
  <connection id="5" xr16:uid="{3C3899E9-B0A5-4315-B95E-7E3C04C85AD7}" name="WorksheetConnection_PreEntrega_ModeloBI_CabralJulieta.xlsx!Tabla2" type="102" refreshedVersion="8" minRefreshableVersion="5">
    <extLst>
      <ext xmlns:x15="http://schemas.microsoft.com/office/spreadsheetml/2010/11/main" uri="{DE250136-89BD-433C-8126-D09CA5730AF9}">
        <x15:connection id="Tabla2">
          <x15:rangePr sourceName="_xlcn.WorksheetConnection_PreEntrega_ModeloBI_CabralJulieta.xlsxTabla21"/>
        </x15:connection>
      </ext>
    </extLst>
  </connection>
  <connection id="6" xr16:uid="{2F6CA1B3-4F28-4EB9-8FC9-BB002B06BF9D}" name="WorksheetConnection_PreEntrega_ModeloBI_CabralJulieta.xlsx!Tabla4" type="102" refreshedVersion="8" minRefreshableVersion="5">
    <extLst>
      <ext xmlns:x15="http://schemas.microsoft.com/office/spreadsheetml/2010/11/main" uri="{DE250136-89BD-433C-8126-D09CA5730AF9}">
        <x15:connection id="Tabla4">
          <x15:rangePr sourceName="_xlcn.WorksheetConnection_PreEntrega_ModeloBI_CabralJulieta.xlsxTabla41"/>
        </x15:connection>
      </ext>
    </extLst>
  </connection>
</connections>
</file>

<file path=xl/sharedStrings.xml><?xml version="1.0" encoding="utf-8"?>
<sst xmlns="http://schemas.openxmlformats.org/spreadsheetml/2006/main" count="169" uniqueCount="98">
  <si>
    <t>ID_Cliente</t>
  </si>
  <si>
    <t>Cliente</t>
  </si>
  <si>
    <t>C001</t>
  </si>
  <si>
    <t>Cliente 1</t>
  </si>
  <si>
    <t>C002</t>
  </si>
  <si>
    <t>Cliente 2</t>
  </si>
  <si>
    <t>C003</t>
  </si>
  <si>
    <t>Cliente 3</t>
  </si>
  <si>
    <t>C004</t>
  </si>
  <si>
    <t>Cliente 4</t>
  </si>
  <si>
    <t>C005</t>
  </si>
  <si>
    <t>Cliente 5</t>
  </si>
  <si>
    <t>C006</t>
  </si>
  <si>
    <t>Cliente 6</t>
  </si>
  <si>
    <t>C007</t>
  </si>
  <si>
    <t>Cliente 7</t>
  </si>
  <si>
    <t>C008</t>
  </si>
  <si>
    <t>Cliente 8</t>
  </si>
  <si>
    <t>C009</t>
  </si>
  <si>
    <t>Cliente 9</t>
  </si>
  <si>
    <t>C010</t>
  </si>
  <si>
    <t>Cliente 10</t>
  </si>
  <si>
    <t>ID_Producto</t>
  </si>
  <si>
    <t>Producto</t>
  </si>
  <si>
    <t>P001</t>
  </si>
  <si>
    <t>Producto 1</t>
  </si>
  <si>
    <t>P002</t>
  </si>
  <si>
    <t>Producto 2</t>
  </si>
  <si>
    <t>P003</t>
  </si>
  <si>
    <t>Producto 3</t>
  </si>
  <si>
    <t>P004</t>
  </si>
  <si>
    <t>Producto 4</t>
  </si>
  <si>
    <t>Fecha</t>
  </si>
  <si>
    <t>Año</t>
  </si>
  <si>
    <t>Venta_Total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</si>
  <si>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</si>
  <si>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</si>
  <si>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</si>
  <si>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</si>
  <si>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</si>
  <si>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</si>
  <si>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</si>
  <si>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</si>
  <si>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</si>
  <si>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</si>
  <si>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</si>
  <si>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</si>
  <si>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</si>
  <si>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SIMULACIÓN DE ESCENARIOS</t>
  </si>
  <si>
    <t>Factor de costo</t>
  </si>
  <si>
    <t>Ventas Totales</t>
  </si>
  <si>
    <t>Costos Ajustados</t>
  </si>
  <si>
    <t>Margen Neto</t>
  </si>
  <si>
    <t>$B$3</t>
  </si>
  <si>
    <t>$B$6</t>
  </si>
  <si>
    <t>Pesimista</t>
  </si>
  <si>
    <t>Creado por Juli Cabral el 1/10/2026</t>
  </si>
  <si>
    <t>Base</t>
  </si>
  <si>
    <t>Optimista</t>
  </si>
  <si>
    <t>Resumen del escenario</t>
  </si>
  <si>
    <t>Celdas cambiantes:</t>
  </si>
  <si>
    <t>Valores actuales:</t>
  </si>
  <si>
    <t>Celdas de resultado:</t>
  </si>
  <si>
    <t>Notas: La columna de valores actuales representa los valores de las celdas cambiantes</t>
  </si>
  <si>
    <t>en el momento en que se creó el Informe resumen de escenario. Las celdas cambiantes de</t>
  </si>
  <si>
    <t>cada escenario se muestran en gris.</t>
  </si>
  <si>
    <t>DASHBOARD EJECUTIVO DE VENTAS</t>
  </si>
  <si>
    <t>Análisis de ventas, costos y margen</t>
  </si>
  <si>
    <t>Ventas_ totales</t>
  </si>
  <si>
    <t>COSTOS TOTALES</t>
  </si>
  <si>
    <t>MARGEN NETO</t>
  </si>
  <si>
    <t>Region</t>
  </si>
  <si>
    <t>Cantidad</t>
  </si>
  <si>
    <t>Precio_Unitario</t>
  </si>
  <si>
    <t>Costo_Unitario</t>
  </si>
  <si>
    <t>Costo_Total</t>
  </si>
  <si>
    <t>Norte</t>
  </si>
  <si>
    <t>Sur</t>
  </si>
  <si>
    <t>Centro</t>
  </si>
  <si>
    <t>Etiquetas de fila</t>
  </si>
  <si>
    <t>Total general</t>
  </si>
  <si>
    <t>ene</t>
  </si>
  <si>
    <t>feb</t>
  </si>
  <si>
    <t>mar</t>
  </si>
  <si>
    <t>abr</t>
  </si>
  <si>
    <t>may</t>
  </si>
  <si>
    <t>Suma de Venta_Total</t>
  </si>
  <si>
    <t>Concepto</t>
  </si>
  <si>
    <t>Importe</t>
  </si>
  <si>
    <t>Ventas</t>
  </si>
  <si>
    <t>Costos</t>
  </si>
  <si>
    <t>REGISTRO DE ANÁLISIS ASISTIDO POR IA</t>
  </si>
  <si>
    <t>Prompt 1 — Validación de insights</t>
  </si>
  <si>
    <t>Tengo un dashboard de ventas con ventas totales, costos y margen neto, además de información por región, producto y período. ¿Qué aspectos debería analizar antes de sacar conclusiones de negocio?</t>
  </si>
  <si>
    <t>Prompt 2 — Abogado del diablo</t>
  </si>
  <si>
    <t>Actuá como abogado del diablo sobre mis conclusiones del dashboard. ¿Qué variables omitidas, sesgos o explicaciones alternativas podrían explicar los resultados observados?</t>
  </si>
  <si>
    <t>Validación realizada</t>
  </si>
  <si>
    <t>Las conclusiones del dashboard son descriptivas. Antes de atribuir causas a las tendencias observadas, deben considerarse variables como volumen vendido, precios, costos unitarios, composición de productos, región y período. La correlación entre variables no implica necesariamente causalidad.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</si>
</sst>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&quot;$&quot;\ #,##0.00"/>
  </numFmts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2"/>
      <color indexed="9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b/>
      <sz val="11"/>
      <color indexed="18"/>
      <name val="Aptos Narrow"/>
      <family val="2"/>
      <scheme val="minor"/>
    </font>
    <font>
      <sz val="10"/>
      <color indexed="9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14"/>
      <color theme="9" tint="-0.499984740745262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  <fill>
      <patternFill patternType="solid">
        <fgColor rgb="FFFFFF99"/>
        <bgColor indexed="64"/>
      </patternFill>
    </fill>
  </fills>
  <borders count="8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14" fontId="0" fillId="0" borderId="0" xfId="0" applyNumberFormat="1" applyAlignment="1">
      <alignment vertical="center" wrapText="1"/>
    </xf>
    <xf numFmtId="0" fontId="0" fillId="0" borderId="2" xfId="0" applyBorder="1"/>
    <xf numFmtId="0" fontId="0" fillId="0" borderId="3" xfId="0" applyBorder="1"/>
    <xf numFmtId="0" fontId="2" fillId="0" borderId="4" xfId="0" applyFont="1" applyBorder="1" applyAlignment="1">
      <alignment horizontal="centerContinuous"/>
    </xf>
    <xf numFmtId="2" fontId="0" fillId="0" borderId="0" xfId="0" applyNumberFormat="1"/>
    <xf numFmtId="2" fontId="0" fillId="0" borderId="2" xfId="0" applyNumberFormat="1" applyBorder="1"/>
    <xf numFmtId="0" fontId="3" fillId="2" borderId="5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4" fillId="3" borderId="0" xfId="0" applyFont="1" applyFill="1" applyAlignment="1">
      <alignment horizontal="left"/>
    </xf>
    <xf numFmtId="0" fontId="5" fillId="3" borderId="3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/>
    </xf>
    <xf numFmtId="0" fontId="6" fillId="2" borderId="1" xfId="0" applyFont="1" applyFill="1" applyBorder="1" applyAlignment="1">
      <alignment horizontal="right"/>
    </xf>
    <xf numFmtId="0" fontId="6" fillId="2" borderId="5" xfId="0" applyFont="1" applyFill="1" applyBorder="1" applyAlignment="1">
      <alignment horizontal="right"/>
    </xf>
    <xf numFmtId="0" fontId="0" fillId="4" borderId="0" xfId="0" applyFill="1"/>
    <xf numFmtId="0" fontId="7" fillId="0" borderId="0" xfId="0" applyFont="1" applyAlignment="1">
      <alignment vertical="top" wrapText="1"/>
    </xf>
    <xf numFmtId="0" fontId="8" fillId="5" borderId="6" xfId="0" applyFont="1" applyFill="1" applyBorder="1"/>
    <xf numFmtId="169" fontId="1" fillId="5" borderId="7" xfId="0" applyNumberFormat="1" applyFont="1" applyFill="1" applyBorder="1"/>
    <xf numFmtId="14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 applyAlignment="1">
      <alignment vertical="center" wrapText="1"/>
    </xf>
    <xf numFmtId="0" fontId="0" fillId="0" borderId="0" xfId="0" applyAlignment="1">
      <alignment horizontal="left" vertical="center" indent="1"/>
    </xf>
  </cellXfs>
  <cellStyles count="1">
    <cellStyle name="Normal" xfId="0" builtinId="0"/>
  </cellStyles>
  <dxfs count="14">
    <dxf>
      <numFmt numFmtId="0" formatCode="General"/>
    </dxf>
    <dxf>
      <numFmt numFmtId="0" formatCode="General"/>
    </dxf>
    <dxf>
      <numFmt numFmtId="0" formatCode="General"/>
    </dxf>
    <dxf>
      <numFmt numFmtId="19" formatCode="d/m/yyyy"/>
    </dxf>
    <dxf>
      <alignment horizontal="right" vertical="center" textRotation="0" wrapText="1" indent="0" justifyLastLine="0" shrinkToFit="0" readingOrder="0"/>
    </dxf>
    <dxf>
      <numFmt numFmtId="19" formatCode="d/m/yy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microsoft.com/office/2007/relationships/slicerCache" Target="slicerCaches/slicerCache1.xml"/><Relationship Id="rId18" Type="http://schemas.openxmlformats.org/officeDocument/2006/relationships/styles" Target="styles.xml"/><Relationship Id="rId26" Type="http://schemas.openxmlformats.org/officeDocument/2006/relationships/customXml" Target="../customXml/item5.xml"/><Relationship Id="rId39" Type="http://schemas.openxmlformats.org/officeDocument/2006/relationships/customXml" Target="../customXml/item18.xml"/><Relationship Id="rId21" Type="http://schemas.openxmlformats.org/officeDocument/2006/relationships/calcChain" Target="calcChain.xml"/><Relationship Id="rId34" Type="http://schemas.openxmlformats.org/officeDocument/2006/relationships/customXml" Target="../customXml/item1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powerPivotData" Target="model/item.data"/><Relationship Id="rId29" Type="http://schemas.openxmlformats.org/officeDocument/2006/relationships/customXml" Target="../customXml/item8.xml"/><Relationship Id="rId41" Type="http://schemas.openxmlformats.org/officeDocument/2006/relationships/customXml" Target="../customXml/item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32" Type="http://schemas.openxmlformats.org/officeDocument/2006/relationships/customXml" Target="../customXml/item11.xml"/><Relationship Id="rId37" Type="http://schemas.openxmlformats.org/officeDocument/2006/relationships/customXml" Target="../customXml/item16.xml"/><Relationship Id="rId40" Type="http://schemas.openxmlformats.org/officeDocument/2006/relationships/customXml" Target="../customXml/item19.xml"/><Relationship Id="rId5" Type="http://schemas.openxmlformats.org/officeDocument/2006/relationships/worksheet" Target="worksheets/sheet5.xml"/><Relationship Id="rId15" Type="http://schemas.microsoft.com/office/2007/relationships/slicerCache" Target="slicerCaches/slicerCache3.xml"/><Relationship Id="rId23" Type="http://schemas.openxmlformats.org/officeDocument/2006/relationships/customXml" Target="../customXml/item2.xml"/><Relationship Id="rId28" Type="http://schemas.openxmlformats.org/officeDocument/2006/relationships/customXml" Target="../customXml/item7.xml"/><Relationship Id="rId36" Type="http://schemas.openxmlformats.org/officeDocument/2006/relationships/customXml" Target="../customXml/item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31" Type="http://schemas.openxmlformats.org/officeDocument/2006/relationships/customXml" Target="../customXml/item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07/relationships/slicerCache" Target="slicerCaches/slicerCache2.xml"/><Relationship Id="rId22" Type="http://schemas.openxmlformats.org/officeDocument/2006/relationships/customXml" Target="../customXml/item1.xml"/><Relationship Id="rId27" Type="http://schemas.openxmlformats.org/officeDocument/2006/relationships/customXml" Target="../customXml/item6.xml"/><Relationship Id="rId30" Type="http://schemas.openxmlformats.org/officeDocument/2006/relationships/customXml" Target="../customXml/item9.xml"/><Relationship Id="rId35" Type="http://schemas.openxmlformats.org/officeDocument/2006/relationships/customXml" Target="../customXml/item14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1.xml"/><Relationship Id="rId17" Type="http://schemas.openxmlformats.org/officeDocument/2006/relationships/connections" Target="connections.xml"/><Relationship Id="rId25" Type="http://schemas.openxmlformats.org/officeDocument/2006/relationships/customXml" Target="../customXml/item4.xml"/><Relationship Id="rId33" Type="http://schemas.openxmlformats.org/officeDocument/2006/relationships/customXml" Target="../customXml/item12.xml"/><Relationship Id="rId38" Type="http://schemas.openxmlformats.org/officeDocument/2006/relationships/customXml" Target="../customXml/item17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[PreEntrega_DashboardFinal_CabralJulieta.xlsx]Hoja3!TablaDinámica1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400" b="0" i="0" u="none" strike="noStrike" baseline="0"/>
              <a:t>Evolución de las ventas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Hoja3!$B$3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Hoja3!$A$4:$A$9</c:f>
              <c:strCache>
                <c:ptCount val="5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</c:strCache>
            </c:strRef>
          </c:cat>
          <c:val>
            <c:numRef>
              <c:f>Hoja3!$B$4:$B$9</c:f>
              <c:numCache>
                <c:formatCode>General</c:formatCode>
                <c:ptCount val="5"/>
                <c:pt idx="0">
                  <c:v>866000</c:v>
                </c:pt>
                <c:pt idx="1">
                  <c:v>858000</c:v>
                </c:pt>
                <c:pt idx="2">
                  <c:v>953000</c:v>
                </c:pt>
                <c:pt idx="3">
                  <c:v>865000</c:v>
                </c:pt>
                <c:pt idx="4">
                  <c:v>732000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930-4003-B745-17E325ACA0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55875951"/>
        <c:axId val="1254495855"/>
      </c:lineChart>
      <c:catAx>
        <c:axId val="12558759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254495855"/>
        <c:crosses val="autoZero"/>
        <c:auto val="1"/>
        <c:lblAlgn val="ctr"/>
        <c:lblOffset val="100"/>
        <c:noMultiLvlLbl val="0"/>
      </c:catAx>
      <c:valAx>
        <c:axId val="1254495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255875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[PreEntrega_DashboardFinal_CabralJulieta.xlsx]Hoja4!TablaDinámica2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400" b="0" i="0" u="none" strike="noStrike" baseline="0"/>
              <a:t>Ventas por región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Hoja4!$A$4:$A$7</c:f>
              <c:strCache>
                <c:ptCount val="3"/>
                <c:pt idx="0">
                  <c:v>Centro</c:v>
                </c:pt>
                <c:pt idx="1">
                  <c:v>Norte</c:v>
                </c:pt>
                <c:pt idx="2">
                  <c:v>Sur</c:v>
                </c:pt>
              </c:strCache>
            </c:strRef>
          </c:cat>
          <c:val>
            <c:numRef>
              <c:f>Hoja4!$B$4:$B$7</c:f>
              <c:numCache>
                <c:formatCode>General</c:formatCode>
                <c:ptCount val="3"/>
                <c:pt idx="0">
                  <c:v>1235000</c:v>
                </c:pt>
                <c:pt idx="1">
                  <c:v>1801000</c:v>
                </c:pt>
                <c:pt idx="2">
                  <c:v>1238000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03-4781-B59E-BEF0F0C875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55875487"/>
        <c:axId val="1254464175"/>
      </c:barChart>
      <c:catAx>
        <c:axId val="1255875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254464175"/>
        <c:crosses val="autoZero"/>
        <c:auto val="1"/>
        <c:lblAlgn val="ctr"/>
        <c:lblOffset val="100"/>
        <c:noMultiLvlLbl val="0"/>
      </c:catAx>
      <c:valAx>
        <c:axId val="1254464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255875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s-AR"/>
              <a:t>De ventas a margen: impacto de los costos</a:t>
            </a:r>
            <a:endParaRPr lang="es-MX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rich>
      </cx:tx>
    </cx:title>
    <cx:plotArea>
      <cx:plotAreaRegion>
        <cx:series layoutId="waterfall" uniqueId="{00000000-DA3D-434C-AEBA-1D9EA2C739BF}">
          <cx:tx>
            <cx:txData>
              <cx:f>_xlchart.v1.1</cx:f>
              <cx:v>Importe</cx:v>
            </cx:txData>
          </cx:tx>
          <cx:dataLabels pos="outEnd">
            <cx:visibility seriesName="0" categoryName="0" value="1"/>
          </cx:dataLabels>
          <cx:dataId val="0"/>
          <cx:layoutPr>
            <cx:subtotals/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1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28</xdr:row>
      <xdr:rowOff>114300</xdr:rowOff>
    </xdr:from>
    <xdr:to>
      <xdr:col>4</xdr:col>
      <xdr:colOff>1247775</xdr:colOff>
      <xdr:row>43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97F9549-680D-46EC-85F0-BEEEC57F7C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28575</xdr:colOff>
      <xdr:row>28</xdr:row>
      <xdr:rowOff>95250</xdr:rowOff>
    </xdr:from>
    <xdr:to>
      <xdr:col>9</xdr:col>
      <xdr:colOff>533400</xdr:colOff>
      <xdr:row>42</xdr:row>
      <xdr:rowOff>171450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B7220E8-18F1-4BA4-917A-92FF3CFC48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47625</xdr:colOff>
      <xdr:row>43</xdr:row>
      <xdr:rowOff>95250</xdr:rowOff>
    </xdr:from>
    <xdr:to>
      <xdr:col>1</xdr:col>
      <xdr:colOff>1114425</xdr:colOff>
      <xdr:row>57</xdr:row>
      <xdr:rowOff>95250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Fecha">
              <a:extLst>
                <a:ext uri="{FF2B5EF4-FFF2-40B4-BE49-F238E27FC236}">
                  <a16:creationId xmlns:a16="http://schemas.microsoft.com/office/drawing/2014/main" id="{281DFCAD-95D3-F37B-DC42-FB98664A1DB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echa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5" y="8353425"/>
              <a:ext cx="1828800" cy="2667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19050</xdr:colOff>
      <xdr:row>43</xdr:row>
      <xdr:rowOff>114300</xdr:rowOff>
    </xdr:from>
    <xdr:to>
      <xdr:col>4</xdr:col>
      <xdr:colOff>457200</xdr:colOff>
      <xdr:row>57</xdr:row>
      <xdr:rowOff>114300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" name="ID_Producto">
              <a:extLst>
                <a:ext uri="{FF2B5EF4-FFF2-40B4-BE49-F238E27FC236}">
                  <a16:creationId xmlns:a16="http://schemas.microsoft.com/office/drawing/2014/main" id="{7637C2AB-E6A1-BCCE-3EB8-2F955FDBA9C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ID_Product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71675" y="8372475"/>
              <a:ext cx="1828800" cy="2667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4</xdr:col>
      <xdr:colOff>590550</xdr:colOff>
      <xdr:row>43</xdr:row>
      <xdr:rowOff>104775</xdr:rowOff>
    </xdr:from>
    <xdr:to>
      <xdr:col>6</xdr:col>
      <xdr:colOff>123825</xdr:colOff>
      <xdr:row>57</xdr:row>
      <xdr:rowOff>104775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6" name="Region">
              <a:extLst>
                <a:ext uri="{FF2B5EF4-FFF2-40B4-BE49-F238E27FC236}">
                  <a16:creationId xmlns:a16="http://schemas.microsoft.com/office/drawing/2014/main" id="{B18A9664-C2F6-A1B2-FE6D-240DC5ED113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933825" y="8362950"/>
              <a:ext cx="1828800" cy="2667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2</xdr:col>
      <xdr:colOff>490537</xdr:colOff>
      <xdr:row>58</xdr:row>
      <xdr:rowOff>42862</xdr:rowOff>
    </xdr:from>
    <xdr:to>
      <xdr:col>7</xdr:col>
      <xdr:colOff>738187</xdr:colOff>
      <xdr:row>71</xdr:row>
      <xdr:rowOff>119062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Gráfico 6">
              <a:extLst>
                <a:ext uri="{FF2B5EF4-FFF2-40B4-BE49-F238E27FC236}">
                  <a16:creationId xmlns:a16="http://schemas.microsoft.com/office/drawing/2014/main" id="{B796085C-9714-00C7-32FA-ADE27AC9118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43162" y="11158537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Este gráfico no está disponible en tu versión de Excel.
Si editas esta forma o guardas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0</xdr:col>
      <xdr:colOff>171450</xdr:colOff>
      <xdr:row>72</xdr:row>
      <xdr:rowOff>152400</xdr:rowOff>
    </xdr:from>
    <xdr:to>
      <xdr:col>5</xdr:col>
      <xdr:colOff>428625</xdr:colOff>
      <xdr:row>82</xdr:row>
      <xdr:rowOff>142875</xdr:rowOff>
    </xdr:to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2BB73C2E-FDB7-C4FD-A0B5-D2216E35AAEE}"/>
            </a:ext>
          </a:extLst>
        </xdr:cNvPr>
        <xdr:cNvSpPr txBox="1"/>
      </xdr:nvSpPr>
      <xdr:spPr>
        <a:xfrm>
          <a:off x="171450" y="14125575"/>
          <a:ext cx="4943475" cy="1895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b="1"/>
            <a:t>VENTAS:</a:t>
          </a:r>
          <a:r>
            <a:rPr lang="es-AR"/>
            <a:t> Las ventas acumuladas alcanzan $4.274.000 en el período analizado.</a:t>
          </a:r>
        </a:p>
        <a:p>
          <a:r>
            <a:rPr lang="es-AR" b="1"/>
            <a:t>COSTOS Y MARGEN:</a:t>
          </a:r>
          <a:r>
            <a:rPr lang="es-AR"/>
            <a:t> Los costos totalizan $2.593.000 y el margen neto calculado alcanza $1.681.000.</a:t>
          </a:r>
        </a:p>
        <a:p>
          <a:r>
            <a:rPr lang="es-AR" b="1"/>
            <a:t>ANÁLISIS:</a:t>
          </a:r>
          <a:r>
            <a:rPr lang="es-AR"/>
            <a:t> Los segmentadores permiten explorar las ventas según período, región y producto, facilitando el análisis de los resultados.</a:t>
          </a:r>
          <a:endParaRPr lang="es-AR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 Cabral" refreshedDate="46296.991576273147" createdVersion="8" refreshedVersion="8" minRefreshableVersion="3" recordCount="20" xr:uid="{FCE0B8DB-B821-4771-89A2-6E7EAE59405A}">
  <cacheSource type="worksheet">
    <worksheetSource name="Ventas_Fuente"/>
  </cacheSource>
  <cacheFields count="11">
    <cacheField name="Fecha" numFmtId="14">
      <sharedItems containsSemiMixedTypes="0" containsNonDate="0" containsDate="1" containsString="0" minDate="2026-01-01T00:00:00" maxDate="2026-05-21T00:00:00" count="20">
        <d v="2026-01-01T00:00:00"/>
        <d v="2026-01-05T00:00:00"/>
        <d v="2026-01-10T00:00:00"/>
        <d v="2026-01-15T00:00:00"/>
        <d v="2026-01-20T00:00:00"/>
        <d v="2026-02-02T00:00:00"/>
        <d v="2026-02-08T00:00:00"/>
        <d v="2026-02-14T00:00:00"/>
        <d v="2026-02-21T00:00:00"/>
        <d v="2026-03-03T00:00:00"/>
        <d v="2026-03-09T00:00:00"/>
        <d v="2026-03-17T00:00:00"/>
        <d v="2026-03-25T00:00:00"/>
        <d v="2026-04-04T00:00:00"/>
        <d v="2026-04-11T00:00:00"/>
        <d v="2026-04-18T00:00:00"/>
        <d v="2026-04-26T00:00:00"/>
        <d v="2026-05-05T00:00:00"/>
        <d v="2026-05-12T00:00:00"/>
        <d v="2026-05-20T00:00:00"/>
      </sharedItems>
      <fieldGroup par="10"/>
    </cacheField>
    <cacheField name="ID_Cliente" numFmtId="0">
      <sharedItems/>
    </cacheField>
    <cacheField name="ID_Producto" numFmtId="0">
      <sharedItems count="4">
        <s v="P001"/>
        <s v="P002"/>
        <s v="P003"/>
        <s v="P004"/>
      </sharedItems>
    </cacheField>
    <cacheField name="Region" numFmtId="0">
      <sharedItems count="3">
        <s v="Norte"/>
        <s v="Sur"/>
        <s v="Centro"/>
      </sharedItems>
    </cacheField>
    <cacheField name="Cantidad" numFmtId="0">
      <sharedItems containsSemiMixedTypes="0" containsString="0" containsNumber="1" containsInteger="1" minValue="5" maxValue="20"/>
    </cacheField>
    <cacheField name="Precio_Unitario" numFmtId="0">
      <sharedItems containsSemiMixedTypes="0" containsString="0" containsNumber="1" containsInteger="1" minValue="12000" maxValue="30000"/>
    </cacheField>
    <cacheField name="Costo_Unitario" numFmtId="0">
      <sharedItems containsSemiMixedTypes="0" containsString="0" containsNumber="1" containsInteger="1" minValue="7000" maxValue="18000"/>
    </cacheField>
    <cacheField name="Venta_Total" numFmtId="0">
      <sharedItems containsSemiMixedTypes="0" containsString="0" containsNumber="1" containsInteger="1" minValue="108000" maxValue="352000"/>
    </cacheField>
    <cacheField name="Costo_Total" numFmtId="0">
      <sharedItems containsSemiMixedTypes="0" containsString="0" containsNumber="1" containsInteger="1" minValue="63000" maxValue="224000"/>
    </cacheField>
    <cacheField name="Días (Fecha)" numFmtId="0" databaseField="0">
      <fieldGroup base="0">
        <rangePr groupBy="days" startDate="2026-01-01T00:00:00" endDate="2026-05-21T00:00:00"/>
        <groupItems count="368">
          <s v="&lt;1/1/2026"/>
          <s v="1-ene"/>
          <s v="2-ene"/>
          <s v="3-ene"/>
          <s v="4-ene"/>
          <s v="5-ene"/>
          <s v="6-ene"/>
          <s v="7-ene"/>
          <s v="8-ene"/>
          <s v="9-ene"/>
          <s v="10-ene"/>
          <s v="11-ene"/>
          <s v="12-ene"/>
          <s v="13-ene"/>
          <s v="14-ene"/>
          <s v="15-ene"/>
          <s v="16-ene"/>
          <s v="17-ene"/>
          <s v="18-ene"/>
          <s v="19-ene"/>
          <s v="20-ene"/>
          <s v="21-ene"/>
          <s v="22-ene"/>
          <s v="23-ene"/>
          <s v="24-ene"/>
          <s v="25-ene"/>
          <s v="26-ene"/>
          <s v="27-ene"/>
          <s v="28-ene"/>
          <s v="29-ene"/>
          <s v="30-ene"/>
          <s v="31-ene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br"/>
          <s v="2-abr"/>
          <s v="3-abr"/>
          <s v="4-abr"/>
          <s v="5-abr"/>
          <s v="6-abr"/>
          <s v="7-abr"/>
          <s v="8-abr"/>
          <s v="9-abr"/>
          <s v="10-abr"/>
          <s v="11-abr"/>
          <s v="12-abr"/>
          <s v="13-abr"/>
          <s v="14-abr"/>
          <s v="15-abr"/>
          <s v="16-abr"/>
          <s v="17-abr"/>
          <s v="18-abr"/>
          <s v="19-abr"/>
          <s v="20-abr"/>
          <s v="21-abr"/>
          <s v="22-abr"/>
          <s v="23-abr"/>
          <s v="24-abr"/>
          <s v="25-abr"/>
          <s v="26-abr"/>
          <s v="27-abr"/>
          <s v="28-abr"/>
          <s v="29-abr"/>
          <s v="30-ab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go"/>
          <s v="2-ago"/>
          <s v="3-ago"/>
          <s v="4-ago"/>
          <s v="5-ago"/>
          <s v="6-ago"/>
          <s v="7-ago"/>
          <s v="8-ago"/>
          <s v="9-ago"/>
          <s v="10-ago"/>
          <s v="11-ago"/>
          <s v="12-ago"/>
          <s v="13-ago"/>
          <s v="14-ago"/>
          <s v="15-ago"/>
          <s v="16-ago"/>
          <s v="17-ago"/>
          <s v="18-ago"/>
          <s v="19-ago"/>
          <s v="20-ago"/>
          <s v="21-ago"/>
          <s v="22-ago"/>
          <s v="23-ago"/>
          <s v="24-ago"/>
          <s v="25-ago"/>
          <s v="26-ago"/>
          <s v="27-ago"/>
          <s v="28-ago"/>
          <s v="29-ago"/>
          <s v="30-ago"/>
          <s v="31-ago"/>
          <s v="1-sept"/>
          <s v="2-sept"/>
          <s v="3-sept"/>
          <s v="4-sept"/>
          <s v="5-sept"/>
          <s v="6-sept"/>
          <s v="7-sept"/>
          <s v="8-sept"/>
          <s v="9-sept"/>
          <s v="10-sept"/>
          <s v="11-sept"/>
          <s v="12-sept"/>
          <s v="13-sept"/>
          <s v="14-sept"/>
          <s v="15-sept"/>
          <s v="16-sept"/>
          <s v="17-sept"/>
          <s v="18-sept"/>
          <s v="19-sept"/>
          <s v="20-sept"/>
          <s v="21-sept"/>
          <s v="22-sept"/>
          <s v="23-sept"/>
          <s v="24-sept"/>
          <s v="25-sept"/>
          <s v="26-sept"/>
          <s v="27-sept"/>
          <s v="28-sept"/>
          <s v="29-sept"/>
          <s v="30-sept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ic"/>
          <s v="2-dic"/>
          <s v="3-dic"/>
          <s v="4-dic"/>
          <s v="5-dic"/>
          <s v="6-dic"/>
          <s v="7-dic"/>
          <s v="8-dic"/>
          <s v="9-dic"/>
          <s v="10-dic"/>
          <s v="11-dic"/>
          <s v="12-dic"/>
          <s v="13-dic"/>
          <s v="14-dic"/>
          <s v="15-dic"/>
          <s v="16-dic"/>
          <s v="17-dic"/>
          <s v="18-dic"/>
          <s v="19-dic"/>
          <s v="20-dic"/>
          <s v="21-dic"/>
          <s v="22-dic"/>
          <s v="23-dic"/>
          <s v="24-dic"/>
          <s v="25-dic"/>
          <s v="26-dic"/>
          <s v="27-dic"/>
          <s v="28-dic"/>
          <s v="29-dic"/>
          <s v="30-dic"/>
          <s v="31-dic"/>
          <s v="&gt;21/5/2026"/>
        </groupItems>
      </fieldGroup>
    </cacheField>
    <cacheField name="Meses (Fecha)" numFmtId="0" databaseField="0">
      <fieldGroup base="0">
        <rangePr groupBy="months" startDate="2026-01-01T00:00:00" endDate="2026-05-21T00:00:00"/>
        <groupItems count="14">
          <s v="&lt;1/1/2026"/>
          <s v="ene"/>
          <s v="feb"/>
          <s v="mar"/>
          <s v="abr"/>
          <s v="may"/>
          <s v="jun"/>
          <s v="jul"/>
          <s v="ago"/>
          <s v="sept"/>
          <s v="oct"/>
          <s v="nov"/>
          <s v="dic"/>
          <s v="&gt;21/5/2026"/>
        </groupItems>
      </fieldGroup>
    </cacheField>
  </cacheFields>
  <extLst>
    <ext xmlns:x14="http://schemas.microsoft.com/office/spreadsheetml/2009/9/main" uri="{725AE2AE-9491-48be-B2B4-4EB974FC3084}">
      <x14:pivotCacheDefinition pivotCacheId="93530198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x v="0"/>
    <s v="C001"/>
    <x v="0"/>
    <x v="0"/>
    <n v="10"/>
    <n v="15000"/>
    <n v="9000"/>
    <n v="150000"/>
    <n v="90000"/>
  </r>
  <r>
    <x v="1"/>
    <s v="C002"/>
    <x v="1"/>
    <x v="1"/>
    <n v="8"/>
    <n v="22000"/>
    <n v="14000"/>
    <n v="176000"/>
    <n v="112000"/>
  </r>
  <r>
    <x v="2"/>
    <s v="C003"/>
    <x v="2"/>
    <x v="2"/>
    <n v="15"/>
    <n v="12000"/>
    <n v="7000"/>
    <n v="180000"/>
    <n v="105000"/>
  </r>
  <r>
    <x v="3"/>
    <s v="C004"/>
    <x v="0"/>
    <x v="0"/>
    <n v="12"/>
    <n v="15000"/>
    <n v="9000"/>
    <n v="180000"/>
    <n v="108000"/>
  </r>
  <r>
    <x v="4"/>
    <s v="C005"/>
    <x v="3"/>
    <x v="1"/>
    <n v="6"/>
    <n v="30000"/>
    <n v="18000"/>
    <n v="180000"/>
    <n v="108000"/>
  </r>
  <r>
    <x v="5"/>
    <s v="C001"/>
    <x v="1"/>
    <x v="0"/>
    <n v="9"/>
    <n v="22000"/>
    <n v="14000"/>
    <n v="198000"/>
    <n v="126000"/>
  </r>
  <r>
    <x v="6"/>
    <s v="C006"/>
    <x v="2"/>
    <x v="2"/>
    <n v="20"/>
    <n v="12000"/>
    <n v="7000"/>
    <n v="240000"/>
    <n v="140000"/>
  </r>
  <r>
    <x v="7"/>
    <s v="C007"/>
    <x v="3"/>
    <x v="1"/>
    <n v="7"/>
    <n v="30000"/>
    <n v="18000"/>
    <n v="210000"/>
    <n v="126000"/>
  </r>
  <r>
    <x v="8"/>
    <s v="C002"/>
    <x v="0"/>
    <x v="0"/>
    <n v="14"/>
    <n v="15000"/>
    <n v="9000"/>
    <n v="210000"/>
    <n v="126000"/>
  </r>
  <r>
    <x v="9"/>
    <s v="C003"/>
    <x v="1"/>
    <x v="2"/>
    <n v="11"/>
    <n v="22000"/>
    <n v="14000"/>
    <n v="242000"/>
    <n v="154000"/>
  </r>
  <r>
    <x v="10"/>
    <s v="C008"/>
    <x v="2"/>
    <x v="0"/>
    <n v="18"/>
    <n v="12000"/>
    <n v="7000"/>
    <n v="216000"/>
    <n v="126000"/>
  </r>
  <r>
    <x v="11"/>
    <s v="C005"/>
    <x v="3"/>
    <x v="1"/>
    <n v="10"/>
    <n v="30000"/>
    <n v="18000"/>
    <n v="300000"/>
    <n v="180000"/>
  </r>
  <r>
    <x v="12"/>
    <s v="C009"/>
    <x v="0"/>
    <x v="2"/>
    <n v="13"/>
    <n v="15000"/>
    <n v="9000"/>
    <n v="195000"/>
    <n v="117000"/>
  </r>
  <r>
    <x v="13"/>
    <s v="C010"/>
    <x v="1"/>
    <x v="0"/>
    <n v="16"/>
    <n v="22000"/>
    <n v="14000"/>
    <n v="352000"/>
    <n v="224000"/>
  </r>
  <r>
    <x v="14"/>
    <s v="C006"/>
    <x v="2"/>
    <x v="1"/>
    <n v="9"/>
    <n v="12000"/>
    <n v="7000"/>
    <n v="108000"/>
    <n v="63000"/>
  </r>
  <r>
    <x v="15"/>
    <s v="C004"/>
    <x v="3"/>
    <x v="2"/>
    <n v="5"/>
    <n v="30000"/>
    <n v="18000"/>
    <n v="150000"/>
    <n v="90000"/>
  </r>
  <r>
    <x v="16"/>
    <s v="C007"/>
    <x v="0"/>
    <x v="0"/>
    <n v="17"/>
    <n v="15000"/>
    <n v="9000"/>
    <n v="255000"/>
    <n v="153000"/>
  </r>
  <r>
    <x v="17"/>
    <s v="C008"/>
    <x v="1"/>
    <x v="1"/>
    <n v="12"/>
    <n v="22000"/>
    <n v="14000"/>
    <n v="264000"/>
    <n v="168000"/>
  </r>
  <r>
    <x v="18"/>
    <s v="C009"/>
    <x v="2"/>
    <x v="2"/>
    <n v="19"/>
    <n v="12000"/>
    <n v="7000"/>
    <n v="228000"/>
    <n v="133000"/>
  </r>
  <r>
    <x v="19"/>
    <s v="C010"/>
    <x v="3"/>
    <x v="0"/>
    <n v="8"/>
    <n v="30000"/>
    <n v="18000"/>
    <n v="240000"/>
    <n v="144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6712D9-701C-4583-AD42-38DA6744EA97}" name="TablaDinámica1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A3:B9" firstHeaderRow="1" firstDataRow="1" firstDataCol="1"/>
  <pivotFields count="11">
    <pivotField axis="axisRow" numFmtId="14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showAll="0"/>
    <pivotField showAll="0">
      <items count="5">
        <item x="0"/>
        <item x="1"/>
        <item x="2"/>
        <item x="3"/>
        <item t="default"/>
      </items>
    </pivotField>
    <pivotField showAll="0">
      <items count="4">
        <item x="2"/>
        <item x="0"/>
        <item x="1"/>
        <item t="default"/>
      </items>
    </pivotField>
    <pivotField showAll="0"/>
    <pivotField showAll="0"/>
    <pivotField showAll="0"/>
    <pivotField dataField="1" showAll="0"/>
    <pivotField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10"/>
    <field x="9"/>
    <field x="0"/>
  </rowFields>
  <rowItems count="6"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a de Venta_Total" fld="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692FCD-58E8-4F29-A1A8-6706642792C4}" name="TablaDinámica2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A3:B7" firstHeaderRow="1" firstDataRow="1" firstDataCol="1"/>
  <pivotFields count="11">
    <pivotField numFmtId="14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showAll="0"/>
    <pivotField showAll="0">
      <items count="5">
        <item x="0"/>
        <item x="1"/>
        <item x="2"/>
        <item x="3"/>
        <item t="default"/>
      </items>
    </pivotField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  <pivotField dataField="1"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a de Venta_Total" fld="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backgroundRefresh="0" connectionId="2" xr16:uid="{399399AE-3951-4A66-BA4C-BC10B0F993CF}" autoFormatId="16" applyNumberFormats="0" applyBorderFormats="0" applyFontFormats="0" applyPatternFormats="0" applyAlignmentFormats="0" applyWidthHeightFormats="0">
  <queryTableRefresh nextId="10">
    <queryTableFields count="9">
      <queryTableField id="1" name="Fecha" tableColumnId="1"/>
      <queryTableField id="2" name="ID_Cliente" tableColumnId="2"/>
      <queryTableField id="3" name="ID_Producto" tableColumnId="3"/>
      <queryTableField id="4" name="Region" tableColumnId="4"/>
      <queryTableField id="5" name="Cantidad" tableColumnId="5"/>
      <queryTableField id="6" name="Precio_Unitario" tableColumnId="6"/>
      <queryTableField id="7" name="Costo_Unitario" tableColumnId="7"/>
      <queryTableField id="8" name="Venta_Total" tableColumnId="8"/>
      <queryTableField id="9" name="Costo_Total" tableColumnId="9"/>
    </queryTableFields>
  </queryTableRefresh>
  <extLst>
    <ext xmlns:x15="http://schemas.microsoft.com/office/spreadsheetml/2010/11/main" uri="{883FBD77-0823-4a55-B5E3-86C4891E6966}">
      <x15:queryTable sourceDataName="Consulta - Ventas_Fuente"/>
    </ext>
  </extLst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Fecha" xr10:uid="{2095D47C-88B4-4239-AC54-2266E906FCF9}" sourceName="Fecha">
  <pivotTables>
    <pivotTable tabId="10" name="TablaDinámica1"/>
    <pivotTable tabId="11" name="TablaDinámica2"/>
  </pivotTables>
  <data>
    <tabular pivotCacheId="935301984">
      <items count="20">
        <i x="0" s="1"/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  <i x="12" s="1"/>
        <i x="13" s="1"/>
        <i x="14" s="1"/>
        <i x="15" s="1"/>
        <i x="16" s="1"/>
        <i x="17" s="1"/>
        <i x="18" s="1"/>
        <i x="19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ID_Producto" xr10:uid="{A90B5294-D5DA-4F94-AEE6-DBC43CAFA7A2}" sourceName="ID_Producto">
  <pivotTables>
    <pivotTable tabId="10" name="TablaDinámica1"/>
    <pivotTable tabId="11" name="TablaDinámica2"/>
  </pivotTables>
  <data>
    <tabular pivotCacheId="935301984">
      <items count="4">
        <i x="0" s="1"/>
        <i x="1" s="1"/>
        <i x="2" s="1"/>
        <i x="3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Region" xr10:uid="{9B61BA5C-6470-424B-8107-756B1292E7ED}" sourceName="Region">
  <pivotTables>
    <pivotTable tabId="10" name="TablaDinámica1"/>
    <pivotTable tabId="11" name="TablaDinámica2"/>
  </pivotTables>
  <data>
    <tabular pivotCacheId="935301984">
      <items count="3">
        <i x="2" s="1"/>
        <i x="0" s="1"/>
        <i x="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Fecha" xr10:uid="{6C32CA50-42B3-4695-8BF1-29A9B8261809}" cache="SegmentaciónDeDatos_Fecha" caption="Fecha" rowHeight="257175"/>
  <slicer name="ID_Producto" xr10:uid="{0355CA6B-9F46-4FCC-BB2D-F6307E3E907F}" cache="SegmentaciónDeDatos_ID_Producto" caption="ID_Producto" rowHeight="257175"/>
  <slicer name="Region" xr10:uid="{2C36E180-0698-4166-8F33-C74886E7CADD}" cache="SegmentaciónDeDatos_Region" caption="Region" rowHeight="257175"/>
</slicer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68F1DB7-38C0-44E1-82E9-55B9B152BE3F}" name="Tabla1" displayName="Tabla1" ref="A1:B11" totalsRowShown="0" headerRowDxfId="13" dataDxfId="12">
  <autoFilter ref="A1:B11" xr:uid="{168F1DB7-38C0-44E1-82E9-55B9B152BE3F}"/>
  <tableColumns count="2">
    <tableColumn id="1" xr3:uid="{C9E7566C-2731-440A-9564-7FB8DFE59946}" name="ID_Cliente" dataDxfId="11"/>
    <tableColumn id="2" xr3:uid="{6E7316EC-AE0B-4B82-93DA-ED2C9EC6CA1E}" name="Cliente" dataDxfId="1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82D9B06-1D47-40CB-B4AA-8A4A43526D01}" name="Tabla2" displayName="Tabla2" ref="A1:B5" totalsRowShown="0" headerRowDxfId="9" dataDxfId="8">
  <autoFilter ref="A1:B5" xr:uid="{582D9B06-1D47-40CB-B4AA-8A4A43526D01}"/>
  <tableColumns count="2">
    <tableColumn id="1" xr3:uid="{F0494DE7-03B8-4E85-856D-843973630653}" name="ID_Producto" dataDxfId="7"/>
    <tableColumn id="2" xr3:uid="{E7D86351-7544-4817-9E34-695E38A46BF2}" name="Producto" dataDxfId="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887A985-4927-4E95-83F2-E5D561EB396A}" name="Tabla4" displayName="Tabla4" ref="A1:B121" totalsRowShown="0">
  <autoFilter ref="A1:B121" xr:uid="{2887A985-4927-4E95-83F2-E5D561EB396A}"/>
  <tableColumns count="2">
    <tableColumn id="1" xr3:uid="{0C7EB5CE-57BD-463B-B3F6-59DCFFCC49D2}" name="Fecha" dataDxfId="5">
      <calculatedColumnFormula>A1+1</calculatedColumnFormula>
    </tableColumn>
    <tableColumn id="2" xr3:uid="{95D0A94F-B308-485F-9519-3AE7353E2A45}" name="Año" dataDxfId="4">
      <calculatedColumnFormula>YEAR(A2)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CA5A11A-D42C-487B-B90F-09514E8219F2}" name="Ventas_Fuente" displayName="Ventas_Fuente" ref="D8:L28" tableType="queryTable" totalsRowShown="0">
  <autoFilter ref="D8:L28" xr:uid="{9CA5A11A-D42C-487B-B90F-09514E8219F2}"/>
  <tableColumns count="9">
    <tableColumn id="1" xr3:uid="{7BCBD6E4-E0BC-4E81-AB12-768B6E40237D}" uniqueName="1" name="Fecha" queryTableFieldId="1" dataDxfId="3"/>
    <tableColumn id="2" xr3:uid="{55E6ECA1-21BD-44FF-836F-A9880A1BE8E4}" uniqueName="2" name="ID_Cliente" queryTableFieldId="2" dataDxfId="2"/>
    <tableColumn id="3" xr3:uid="{79DEC86F-D446-46C1-A391-A7A4D6ABFDCD}" uniqueName="3" name="ID_Producto" queryTableFieldId="3" dataDxfId="1"/>
    <tableColumn id="4" xr3:uid="{DBFB6C9E-379E-40FC-A168-792634BBB1FC}" uniqueName="4" name="Region" queryTableFieldId="4" dataDxfId="0"/>
    <tableColumn id="5" xr3:uid="{4D0C9F1B-DA1F-499C-9CEB-2909FE328AB4}" uniqueName="5" name="Cantidad" queryTableFieldId="5"/>
    <tableColumn id="6" xr3:uid="{EA031925-1EB0-4336-B649-6D6E88D17F9B}" uniqueName="6" name="Precio_Unitario" queryTableFieldId="6"/>
    <tableColumn id="7" xr3:uid="{922B236E-5F1C-4372-95FD-30069F0608E0}" uniqueName="7" name="Costo_Unitario" queryTableFieldId="7"/>
    <tableColumn id="8" xr3:uid="{346F6989-FB39-495A-B107-8FDEE858A31F}" uniqueName="8" name="Venta_Total" queryTableFieldId="8"/>
    <tableColumn id="9" xr3:uid="{E1820458-C3E4-4D2B-AE99-ED787B7C7812}" uniqueName="9" name="Costo_Total" queryTableField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0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table" Target="../tables/table4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0253B-48A5-439D-8D40-3C59188A68F6}">
  <dimension ref="A1:B11"/>
  <sheetViews>
    <sheetView workbookViewId="0">
      <selection activeCell="A5" sqref="A5"/>
    </sheetView>
  </sheetViews>
  <sheetFormatPr baseColWidth="10" defaultRowHeight="15" x14ac:dyDescent="0.25"/>
  <cols>
    <col min="1" max="1" width="12.710937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  <row r="3" spans="1:2" x14ac:dyDescent="0.25">
      <c r="A3" s="2" t="s">
        <v>4</v>
      </c>
      <c r="B3" s="2" t="s">
        <v>5</v>
      </c>
    </row>
    <row r="4" spans="1:2" x14ac:dyDescent="0.25">
      <c r="A4" s="2" t="s">
        <v>6</v>
      </c>
      <c r="B4" s="2" t="s">
        <v>7</v>
      </c>
    </row>
    <row r="5" spans="1:2" x14ac:dyDescent="0.25">
      <c r="A5" s="2" t="s">
        <v>8</v>
      </c>
      <c r="B5" s="2" t="s">
        <v>9</v>
      </c>
    </row>
    <row r="6" spans="1:2" x14ac:dyDescent="0.25">
      <c r="A6" s="2" t="s">
        <v>10</v>
      </c>
      <c r="B6" s="2" t="s">
        <v>11</v>
      </c>
    </row>
    <row r="7" spans="1:2" x14ac:dyDescent="0.25">
      <c r="A7" s="2" t="s">
        <v>12</v>
      </c>
      <c r="B7" s="2" t="s">
        <v>13</v>
      </c>
    </row>
    <row r="8" spans="1:2" x14ac:dyDescent="0.25">
      <c r="A8" s="2" t="s">
        <v>14</v>
      </c>
      <c r="B8" s="2" t="s">
        <v>15</v>
      </c>
    </row>
    <row r="9" spans="1:2" x14ac:dyDescent="0.25">
      <c r="A9" s="2" t="s">
        <v>16</v>
      </c>
      <c r="B9" s="2" t="s">
        <v>17</v>
      </c>
    </row>
    <row r="10" spans="1:2" x14ac:dyDescent="0.25">
      <c r="A10" s="2" t="s">
        <v>18</v>
      </c>
      <c r="B10" s="2" t="s">
        <v>19</v>
      </c>
    </row>
    <row r="11" spans="1:2" x14ac:dyDescent="0.25">
      <c r="A11" s="2" t="s">
        <v>20</v>
      </c>
      <c r="B11" s="2" t="s">
        <v>21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ED67B-C411-4D36-BA8E-CDD3AB13D4AE}">
  <dimension ref="A1:B5"/>
  <sheetViews>
    <sheetView workbookViewId="0">
      <selection activeCell="A3" sqref="A3"/>
    </sheetView>
  </sheetViews>
  <sheetFormatPr baseColWidth="10" defaultRowHeight="15" x14ac:dyDescent="0.25"/>
  <cols>
    <col min="1" max="1" width="16.7109375" customWidth="1"/>
  </cols>
  <sheetData>
    <row r="1" spans="1:2" ht="30" x14ac:dyDescent="0.25">
      <c r="A1" s="1" t="s">
        <v>22</v>
      </c>
      <c r="B1" s="1" t="s">
        <v>23</v>
      </c>
    </row>
    <row r="2" spans="1:2" x14ac:dyDescent="0.25">
      <c r="A2" s="2" t="s">
        <v>24</v>
      </c>
      <c r="B2" s="2" t="s">
        <v>25</v>
      </c>
    </row>
    <row r="3" spans="1:2" x14ac:dyDescent="0.25">
      <c r="A3" s="2" t="s">
        <v>26</v>
      </c>
      <c r="B3" s="2" t="s">
        <v>27</v>
      </c>
    </row>
    <row r="4" spans="1:2" x14ac:dyDescent="0.25">
      <c r="A4" s="2" t="s">
        <v>28</v>
      </c>
      <c r="B4" s="2" t="s">
        <v>29</v>
      </c>
    </row>
    <row r="5" spans="1:2" x14ac:dyDescent="0.25">
      <c r="A5" s="2" t="s">
        <v>30</v>
      </c>
      <c r="B5" s="2" t="s">
        <v>31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94B38-45C6-48D8-B063-36240E81DE15}">
  <dimension ref="A1:B121"/>
  <sheetViews>
    <sheetView workbookViewId="0">
      <selection activeCell="B6" sqref="B6"/>
    </sheetView>
  </sheetViews>
  <sheetFormatPr baseColWidth="10" defaultRowHeight="15" x14ac:dyDescent="0.25"/>
  <cols>
    <col min="1" max="1" width="18.140625" customWidth="1"/>
    <col min="2" max="2" width="20.28515625" customWidth="1"/>
  </cols>
  <sheetData>
    <row r="1" spans="1:2" x14ac:dyDescent="0.25">
      <c r="A1" t="s">
        <v>32</v>
      </c>
      <c r="B1" s="4" t="s">
        <v>33</v>
      </c>
    </row>
    <row r="2" spans="1:2" x14ac:dyDescent="0.25">
      <c r="A2" s="5">
        <v>46023</v>
      </c>
      <c r="B2" s="3">
        <f>YEAR(A2)</f>
        <v>2026</v>
      </c>
    </row>
    <row r="3" spans="1:2" x14ac:dyDescent="0.25">
      <c r="A3" s="5">
        <f>A2+1</f>
        <v>46024</v>
      </c>
      <c r="B3" s="3">
        <f t="shared" ref="B3:B66" si="0">YEAR(A3)</f>
        <v>2026</v>
      </c>
    </row>
    <row r="4" spans="1:2" x14ac:dyDescent="0.25">
      <c r="A4" s="5">
        <f t="shared" ref="A4:A67" si="1">A3+1</f>
        <v>46025</v>
      </c>
      <c r="B4" s="3">
        <f t="shared" si="0"/>
        <v>2026</v>
      </c>
    </row>
    <row r="5" spans="1:2" x14ac:dyDescent="0.25">
      <c r="A5" s="5">
        <f t="shared" si="1"/>
        <v>46026</v>
      </c>
      <c r="B5" s="3">
        <f t="shared" si="0"/>
        <v>2026</v>
      </c>
    </row>
    <row r="6" spans="1:2" x14ac:dyDescent="0.25">
      <c r="A6" s="5">
        <f t="shared" si="1"/>
        <v>46027</v>
      </c>
      <c r="B6" s="3">
        <f t="shared" si="0"/>
        <v>2026</v>
      </c>
    </row>
    <row r="7" spans="1:2" x14ac:dyDescent="0.25">
      <c r="A7" s="5">
        <f t="shared" si="1"/>
        <v>46028</v>
      </c>
      <c r="B7" s="3">
        <f t="shared" si="0"/>
        <v>2026</v>
      </c>
    </row>
    <row r="8" spans="1:2" x14ac:dyDescent="0.25">
      <c r="A8" s="5">
        <f t="shared" si="1"/>
        <v>46029</v>
      </c>
      <c r="B8" s="3">
        <f t="shared" si="0"/>
        <v>2026</v>
      </c>
    </row>
    <row r="9" spans="1:2" x14ac:dyDescent="0.25">
      <c r="A9" s="5">
        <f t="shared" si="1"/>
        <v>46030</v>
      </c>
      <c r="B9" s="3">
        <f t="shared" si="0"/>
        <v>2026</v>
      </c>
    </row>
    <row r="10" spans="1:2" x14ac:dyDescent="0.25">
      <c r="A10" s="5">
        <f t="shared" si="1"/>
        <v>46031</v>
      </c>
      <c r="B10" s="3">
        <f t="shared" si="0"/>
        <v>2026</v>
      </c>
    </row>
    <row r="11" spans="1:2" x14ac:dyDescent="0.25">
      <c r="A11" s="5">
        <f t="shared" si="1"/>
        <v>46032</v>
      </c>
      <c r="B11" s="3">
        <f t="shared" si="0"/>
        <v>2026</v>
      </c>
    </row>
    <row r="12" spans="1:2" x14ac:dyDescent="0.25">
      <c r="A12" s="5">
        <f t="shared" si="1"/>
        <v>46033</v>
      </c>
      <c r="B12" s="3">
        <f t="shared" si="0"/>
        <v>2026</v>
      </c>
    </row>
    <row r="13" spans="1:2" x14ac:dyDescent="0.25">
      <c r="A13" s="5">
        <f t="shared" si="1"/>
        <v>46034</v>
      </c>
      <c r="B13" s="3">
        <f t="shared" si="0"/>
        <v>2026</v>
      </c>
    </row>
    <row r="14" spans="1:2" x14ac:dyDescent="0.25">
      <c r="A14" s="5">
        <f t="shared" si="1"/>
        <v>46035</v>
      </c>
      <c r="B14" s="3">
        <f t="shared" si="0"/>
        <v>2026</v>
      </c>
    </row>
    <row r="15" spans="1:2" x14ac:dyDescent="0.25">
      <c r="A15" s="5">
        <f t="shared" si="1"/>
        <v>46036</v>
      </c>
      <c r="B15" s="3">
        <f t="shared" si="0"/>
        <v>2026</v>
      </c>
    </row>
    <row r="16" spans="1:2" x14ac:dyDescent="0.25">
      <c r="A16" s="5">
        <f t="shared" si="1"/>
        <v>46037</v>
      </c>
      <c r="B16" s="3">
        <f t="shared" si="0"/>
        <v>2026</v>
      </c>
    </row>
    <row r="17" spans="1:2" x14ac:dyDescent="0.25">
      <c r="A17" s="5">
        <f t="shared" si="1"/>
        <v>46038</v>
      </c>
      <c r="B17" s="3">
        <f t="shared" si="0"/>
        <v>2026</v>
      </c>
    </row>
    <row r="18" spans="1:2" x14ac:dyDescent="0.25">
      <c r="A18" s="5">
        <f t="shared" si="1"/>
        <v>46039</v>
      </c>
      <c r="B18" s="3">
        <f t="shared" si="0"/>
        <v>2026</v>
      </c>
    </row>
    <row r="19" spans="1:2" x14ac:dyDescent="0.25">
      <c r="A19" s="5">
        <f t="shared" si="1"/>
        <v>46040</v>
      </c>
      <c r="B19" s="3">
        <f t="shared" si="0"/>
        <v>2026</v>
      </c>
    </row>
    <row r="20" spans="1:2" x14ac:dyDescent="0.25">
      <c r="A20" s="5">
        <f t="shared" si="1"/>
        <v>46041</v>
      </c>
      <c r="B20" s="3">
        <f t="shared" si="0"/>
        <v>2026</v>
      </c>
    </row>
    <row r="21" spans="1:2" x14ac:dyDescent="0.25">
      <c r="A21" s="5">
        <f t="shared" si="1"/>
        <v>46042</v>
      </c>
      <c r="B21" s="3">
        <f t="shared" si="0"/>
        <v>2026</v>
      </c>
    </row>
    <row r="22" spans="1:2" x14ac:dyDescent="0.25">
      <c r="A22" s="5">
        <f t="shared" si="1"/>
        <v>46043</v>
      </c>
      <c r="B22" s="3">
        <f t="shared" si="0"/>
        <v>2026</v>
      </c>
    </row>
    <row r="23" spans="1:2" x14ac:dyDescent="0.25">
      <c r="A23" s="5">
        <f t="shared" si="1"/>
        <v>46044</v>
      </c>
      <c r="B23" s="3">
        <f t="shared" si="0"/>
        <v>2026</v>
      </c>
    </row>
    <row r="24" spans="1:2" x14ac:dyDescent="0.25">
      <c r="A24" s="5">
        <f t="shared" si="1"/>
        <v>46045</v>
      </c>
      <c r="B24" s="3">
        <f t="shared" si="0"/>
        <v>2026</v>
      </c>
    </row>
    <row r="25" spans="1:2" x14ac:dyDescent="0.25">
      <c r="A25" s="5">
        <f t="shared" si="1"/>
        <v>46046</v>
      </c>
      <c r="B25" s="3">
        <f t="shared" si="0"/>
        <v>2026</v>
      </c>
    </row>
    <row r="26" spans="1:2" x14ac:dyDescent="0.25">
      <c r="A26" s="5">
        <f t="shared" si="1"/>
        <v>46047</v>
      </c>
      <c r="B26" s="3">
        <f t="shared" si="0"/>
        <v>2026</v>
      </c>
    </row>
    <row r="27" spans="1:2" x14ac:dyDescent="0.25">
      <c r="A27" s="5">
        <f t="shared" si="1"/>
        <v>46048</v>
      </c>
      <c r="B27" s="3">
        <f t="shared" si="0"/>
        <v>2026</v>
      </c>
    </row>
    <row r="28" spans="1:2" x14ac:dyDescent="0.25">
      <c r="A28" s="5">
        <f t="shared" si="1"/>
        <v>46049</v>
      </c>
      <c r="B28" s="3">
        <f t="shared" si="0"/>
        <v>2026</v>
      </c>
    </row>
    <row r="29" spans="1:2" x14ac:dyDescent="0.25">
      <c r="A29" s="5">
        <f t="shared" si="1"/>
        <v>46050</v>
      </c>
      <c r="B29" s="3">
        <f t="shared" si="0"/>
        <v>2026</v>
      </c>
    </row>
    <row r="30" spans="1:2" x14ac:dyDescent="0.25">
      <c r="A30" s="5">
        <f t="shared" si="1"/>
        <v>46051</v>
      </c>
      <c r="B30" s="3">
        <f t="shared" si="0"/>
        <v>2026</v>
      </c>
    </row>
    <row r="31" spans="1:2" x14ac:dyDescent="0.25">
      <c r="A31" s="5">
        <f t="shared" si="1"/>
        <v>46052</v>
      </c>
      <c r="B31" s="3">
        <f t="shared" si="0"/>
        <v>2026</v>
      </c>
    </row>
    <row r="32" spans="1:2" x14ac:dyDescent="0.25">
      <c r="A32" s="5">
        <f t="shared" si="1"/>
        <v>46053</v>
      </c>
      <c r="B32" s="3">
        <f t="shared" si="0"/>
        <v>2026</v>
      </c>
    </row>
    <row r="33" spans="1:2" x14ac:dyDescent="0.25">
      <c r="A33" s="5">
        <f t="shared" si="1"/>
        <v>46054</v>
      </c>
      <c r="B33" s="3">
        <f t="shared" si="0"/>
        <v>2026</v>
      </c>
    </row>
    <row r="34" spans="1:2" x14ac:dyDescent="0.25">
      <c r="A34" s="5">
        <f t="shared" si="1"/>
        <v>46055</v>
      </c>
      <c r="B34" s="3">
        <f t="shared" si="0"/>
        <v>2026</v>
      </c>
    </row>
    <row r="35" spans="1:2" x14ac:dyDescent="0.25">
      <c r="A35" s="5">
        <f t="shared" si="1"/>
        <v>46056</v>
      </c>
      <c r="B35" s="3">
        <f t="shared" si="0"/>
        <v>2026</v>
      </c>
    </row>
    <row r="36" spans="1:2" x14ac:dyDescent="0.25">
      <c r="A36" s="5">
        <f t="shared" si="1"/>
        <v>46057</v>
      </c>
      <c r="B36" s="3">
        <f t="shared" si="0"/>
        <v>2026</v>
      </c>
    </row>
    <row r="37" spans="1:2" x14ac:dyDescent="0.25">
      <c r="A37" s="5">
        <f t="shared" si="1"/>
        <v>46058</v>
      </c>
      <c r="B37" s="3">
        <f t="shared" si="0"/>
        <v>2026</v>
      </c>
    </row>
    <row r="38" spans="1:2" x14ac:dyDescent="0.25">
      <c r="A38" s="5">
        <f t="shared" si="1"/>
        <v>46059</v>
      </c>
      <c r="B38" s="3">
        <f t="shared" si="0"/>
        <v>2026</v>
      </c>
    </row>
    <row r="39" spans="1:2" x14ac:dyDescent="0.25">
      <c r="A39" s="5">
        <f t="shared" si="1"/>
        <v>46060</v>
      </c>
      <c r="B39" s="3">
        <f t="shared" si="0"/>
        <v>2026</v>
      </c>
    </row>
    <row r="40" spans="1:2" x14ac:dyDescent="0.25">
      <c r="A40" s="5">
        <f t="shared" si="1"/>
        <v>46061</v>
      </c>
      <c r="B40" s="3">
        <f t="shared" si="0"/>
        <v>2026</v>
      </c>
    </row>
    <row r="41" spans="1:2" x14ac:dyDescent="0.25">
      <c r="A41" s="5">
        <f t="shared" si="1"/>
        <v>46062</v>
      </c>
      <c r="B41" s="3">
        <f t="shared" si="0"/>
        <v>2026</v>
      </c>
    </row>
    <row r="42" spans="1:2" x14ac:dyDescent="0.25">
      <c r="A42" s="5">
        <f t="shared" si="1"/>
        <v>46063</v>
      </c>
      <c r="B42" s="3">
        <f t="shared" si="0"/>
        <v>2026</v>
      </c>
    </row>
    <row r="43" spans="1:2" x14ac:dyDescent="0.25">
      <c r="A43" s="5">
        <f t="shared" si="1"/>
        <v>46064</v>
      </c>
      <c r="B43" s="3">
        <f t="shared" si="0"/>
        <v>2026</v>
      </c>
    </row>
    <row r="44" spans="1:2" x14ac:dyDescent="0.25">
      <c r="A44" s="5">
        <f t="shared" si="1"/>
        <v>46065</v>
      </c>
      <c r="B44" s="3">
        <f t="shared" si="0"/>
        <v>2026</v>
      </c>
    </row>
    <row r="45" spans="1:2" x14ac:dyDescent="0.25">
      <c r="A45" s="5">
        <f t="shared" si="1"/>
        <v>46066</v>
      </c>
      <c r="B45" s="3">
        <f t="shared" si="0"/>
        <v>2026</v>
      </c>
    </row>
    <row r="46" spans="1:2" x14ac:dyDescent="0.25">
      <c r="A46" s="5">
        <f t="shared" si="1"/>
        <v>46067</v>
      </c>
      <c r="B46" s="3">
        <f t="shared" si="0"/>
        <v>2026</v>
      </c>
    </row>
    <row r="47" spans="1:2" x14ac:dyDescent="0.25">
      <c r="A47" s="5">
        <f t="shared" si="1"/>
        <v>46068</v>
      </c>
      <c r="B47" s="3">
        <f t="shared" si="0"/>
        <v>2026</v>
      </c>
    </row>
    <row r="48" spans="1:2" x14ac:dyDescent="0.25">
      <c r="A48" s="5">
        <f t="shared" si="1"/>
        <v>46069</v>
      </c>
      <c r="B48" s="3">
        <f t="shared" si="0"/>
        <v>2026</v>
      </c>
    </row>
    <row r="49" spans="1:2" x14ac:dyDescent="0.25">
      <c r="A49" s="5">
        <f t="shared" si="1"/>
        <v>46070</v>
      </c>
      <c r="B49" s="3">
        <f t="shared" si="0"/>
        <v>2026</v>
      </c>
    </row>
    <row r="50" spans="1:2" x14ac:dyDescent="0.25">
      <c r="A50" s="5">
        <f t="shared" si="1"/>
        <v>46071</v>
      </c>
      <c r="B50" s="3">
        <f t="shared" si="0"/>
        <v>2026</v>
      </c>
    </row>
    <row r="51" spans="1:2" x14ac:dyDescent="0.25">
      <c r="A51" s="5">
        <f t="shared" si="1"/>
        <v>46072</v>
      </c>
      <c r="B51" s="3">
        <f t="shared" si="0"/>
        <v>2026</v>
      </c>
    </row>
    <row r="52" spans="1:2" x14ac:dyDescent="0.25">
      <c r="A52" s="5">
        <f t="shared" si="1"/>
        <v>46073</v>
      </c>
      <c r="B52" s="3">
        <f t="shared" si="0"/>
        <v>2026</v>
      </c>
    </row>
    <row r="53" spans="1:2" x14ac:dyDescent="0.25">
      <c r="A53" s="5">
        <f t="shared" si="1"/>
        <v>46074</v>
      </c>
      <c r="B53" s="3">
        <f t="shared" si="0"/>
        <v>2026</v>
      </c>
    </row>
    <row r="54" spans="1:2" x14ac:dyDescent="0.25">
      <c r="A54" s="5">
        <f t="shared" si="1"/>
        <v>46075</v>
      </c>
      <c r="B54" s="3">
        <f t="shared" si="0"/>
        <v>2026</v>
      </c>
    </row>
    <row r="55" spans="1:2" x14ac:dyDescent="0.25">
      <c r="A55" s="5">
        <f t="shared" si="1"/>
        <v>46076</v>
      </c>
      <c r="B55" s="3">
        <f t="shared" si="0"/>
        <v>2026</v>
      </c>
    </row>
    <row r="56" spans="1:2" x14ac:dyDescent="0.25">
      <c r="A56" s="5">
        <f t="shared" si="1"/>
        <v>46077</v>
      </c>
      <c r="B56" s="3">
        <f t="shared" si="0"/>
        <v>2026</v>
      </c>
    </row>
    <row r="57" spans="1:2" x14ac:dyDescent="0.25">
      <c r="A57" s="5">
        <f t="shared" si="1"/>
        <v>46078</v>
      </c>
      <c r="B57" s="3">
        <f t="shared" si="0"/>
        <v>2026</v>
      </c>
    </row>
    <row r="58" spans="1:2" x14ac:dyDescent="0.25">
      <c r="A58" s="5">
        <f t="shared" si="1"/>
        <v>46079</v>
      </c>
      <c r="B58" s="3">
        <f t="shared" si="0"/>
        <v>2026</v>
      </c>
    </row>
    <row r="59" spans="1:2" x14ac:dyDescent="0.25">
      <c r="A59" s="5">
        <f t="shared" si="1"/>
        <v>46080</v>
      </c>
      <c r="B59" s="3">
        <f t="shared" si="0"/>
        <v>2026</v>
      </c>
    </row>
    <row r="60" spans="1:2" x14ac:dyDescent="0.25">
      <c r="A60" s="5">
        <f t="shared" si="1"/>
        <v>46081</v>
      </c>
      <c r="B60" s="3">
        <f t="shared" si="0"/>
        <v>2026</v>
      </c>
    </row>
    <row r="61" spans="1:2" x14ac:dyDescent="0.25">
      <c r="A61" s="5">
        <f t="shared" si="1"/>
        <v>46082</v>
      </c>
      <c r="B61" s="3">
        <f t="shared" si="0"/>
        <v>2026</v>
      </c>
    </row>
    <row r="62" spans="1:2" x14ac:dyDescent="0.25">
      <c r="A62" s="5">
        <f t="shared" si="1"/>
        <v>46083</v>
      </c>
      <c r="B62" s="3">
        <f t="shared" si="0"/>
        <v>2026</v>
      </c>
    </row>
    <row r="63" spans="1:2" x14ac:dyDescent="0.25">
      <c r="A63" s="5">
        <f t="shared" si="1"/>
        <v>46084</v>
      </c>
      <c r="B63" s="3">
        <f t="shared" si="0"/>
        <v>2026</v>
      </c>
    </row>
    <row r="64" spans="1:2" x14ac:dyDescent="0.25">
      <c r="A64" s="5">
        <f t="shared" si="1"/>
        <v>46085</v>
      </c>
      <c r="B64" s="3">
        <f t="shared" si="0"/>
        <v>2026</v>
      </c>
    </row>
    <row r="65" spans="1:2" x14ac:dyDescent="0.25">
      <c r="A65" s="5">
        <f t="shared" si="1"/>
        <v>46086</v>
      </c>
      <c r="B65" s="3">
        <f t="shared" si="0"/>
        <v>2026</v>
      </c>
    </row>
    <row r="66" spans="1:2" x14ac:dyDescent="0.25">
      <c r="A66" s="5">
        <f t="shared" si="1"/>
        <v>46087</v>
      </c>
      <c r="B66" s="3">
        <f t="shared" si="0"/>
        <v>2026</v>
      </c>
    </row>
    <row r="67" spans="1:2" x14ac:dyDescent="0.25">
      <c r="A67" s="5">
        <f t="shared" si="1"/>
        <v>46088</v>
      </c>
      <c r="B67" s="3">
        <f t="shared" ref="B67:B121" si="2">YEAR(A67)</f>
        <v>2026</v>
      </c>
    </row>
    <row r="68" spans="1:2" x14ac:dyDescent="0.25">
      <c r="A68" s="5">
        <f t="shared" ref="A68:A120" si="3">A67+1</f>
        <v>46089</v>
      </c>
      <c r="B68" s="3">
        <f t="shared" si="2"/>
        <v>2026</v>
      </c>
    </row>
    <row r="69" spans="1:2" x14ac:dyDescent="0.25">
      <c r="A69" s="5">
        <f t="shared" si="3"/>
        <v>46090</v>
      </c>
      <c r="B69" s="3">
        <f t="shared" si="2"/>
        <v>2026</v>
      </c>
    </row>
    <row r="70" spans="1:2" x14ac:dyDescent="0.25">
      <c r="A70" s="5">
        <f t="shared" si="3"/>
        <v>46091</v>
      </c>
      <c r="B70" s="3">
        <f t="shared" si="2"/>
        <v>2026</v>
      </c>
    </row>
    <row r="71" spans="1:2" x14ac:dyDescent="0.25">
      <c r="A71" s="5">
        <f t="shared" si="3"/>
        <v>46092</v>
      </c>
      <c r="B71" s="3">
        <f t="shared" si="2"/>
        <v>2026</v>
      </c>
    </row>
    <row r="72" spans="1:2" x14ac:dyDescent="0.25">
      <c r="A72" s="5">
        <f t="shared" si="3"/>
        <v>46093</v>
      </c>
      <c r="B72" s="3">
        <f t="shared" si="2"/>
        <v>2026</v>
      </c>
    </row>
    <row r="73" spans="1:2" x14ac:dyDescent="0.25">
      <c r="A73" s="5">
        <f t="shared" si="3"/>
        <v>46094</v>
      </c>
      <c r="B73" s="3">
        <f t="shared" si="2"/>
        <v>2026</v>
      </c>
    </row>
    <row r="74" spans="1:2" x14ac:dyDescent="0.25">
      <c r="A74" s="5">
        <f t="shared" si="3"/>
        <v>46095</v>
      </c>
      <c r="B74" s="3">
        <f t="shared" si="2"/>
        <v>2026</v>
      </c>
    </row>
    <row r="75" spans="1:2" x14ac:dyDescent="0.25">
      <c r="A75" s="5">
        <f t="shared" si="3"/>
        <v>46096</v>
      </c>
      <c r="B75" s="3">
        <f t="shared" si="2"/>
        <v>2026</v>
      </c>
    </row>
    <row r="76" spans="1:2" x14ac:dyDescent="0.25">
      <c r="A76" s="5">
        <f t="shared" si="3"/>
        <v>46097</v>
      </c>
      <c r="B76" s="3">
        <f t="shared" si="2"/>
        <v>2026</v>
      </c>
    </row>
    <row r="77" spans="1:2" x14ac:dyDescent="0.25">
      <c r="A77" s="5">
        <f t="shared" si="3"/>
        <v>46098</v>
      </c>
      <c r="B77" s="3">
        <f t="shared" si="2"/>
        <v>2026</v>
      </c>
    </row>
    <row r="78" spans="1:2" x14ac:dyDescent="0.25">
      <c r="A78" s="5">
        <f t="shared" si="3"/>
        <v>46099</v>
      </c>
      <c r="B78" s="3">
        <f t="shared" si="2"/>
        <v>2026</v>
      </c>
    </row>
    <row r="79" spans="1:2" x14ac:dyDescent="0.25">
      <c r="A79" s="5">
        <f t="shared" si="3"/>
        <v>46100</v>
      </c>
      <c r="B79" s="3">
        <f t="shared" si="2"/>
        <v>2026</v>
      </c>
    </row>
    <row r="80" spans="1:2" x14ac:dyDescent="0.25">
      <c r="A80" s="5">
        <f t="shared" si="3"/>
        <v>46101</v>
      </c>
      <c r="B80" s="3">
        <f t="shared" si="2"/>
        <v>2026</v>
      </c>
    </row>
    <row r="81" spans="1:2" x14ac:dyDescent="0.25">
      <c r="A81" s="5">
        <f t="shared" si="3"/>
        <v>46102</v>
      </c>
      <c r="B81" s="3">
        <f t="shared" si="2"/>
        <v>2026</v>
      </c>
    </row>
    <row r="82" spans="1:2" x14ac:dyDescent="0.25">
      <c r="A82" s="5">
        <f t="shared" si="3"/>
        <v>46103</v>
      </c>
      <c r="B82" s="3">
        <f t="shared" si="2"/>
        <v>2026</v>
      </c>
    </row>
    <row r="83" spans="1:2" x14ac:dyDescent="0.25">
      <c r="A83" s="5">
        <f t="shared" si="3"/>
        <v>46104</v>
      </c>
      <c r="B83" s="3">
        <f t="shared" si="2"/>
        <v>2026</v>
      </c>
    </row>
    <row r="84" spans="1:2" x14ac:dyDescent="0.25">
      <c r="A84" s="5">
        <f t="shared" si="3"/>
        <v>46105</v>
      </c>
      <c r="B84" s="3">
        <f t="shared" si="2"/>
        <v>2026</v>
      </c>
    </row>
    <row r="85" spans="1:2" x14ac:dyDescent="0.25">
      <c r="A85" s="5">
        <f t="shared" si="3"/>
        <v>46106</v>
      </c>
      <c r="B85" s="3">
        <f t="shared" si="2"/>
        <v>2026</v>
      </c>
    </row>
    <row r="86" spans="1:2" x14ac:dyDescent="0.25">
      <c r="A86" s="5">
        <f t="shared" si="3"/>
        <v>46107</v>
      </c>
      <c r="B86" s="3">
        <f t="shared" si="2"/>
        <v>2026</v>
      </c>
    </row>
    <row r="87" spans="1:2" x14ac:dyDescent="0.25">
      <c r="A87" s="5">
        <f t="shared" si="3"/>
        <v>46108</v>
      </c>
      <c r="B87" s="3">
        <f t="shared" si="2"/>
        <v>2026</v>
      </c>
    </row>
    <row r="88" spans="1:2" x14ac:dyDescent="0.25">
      <c r="A88" s="5">
        <f t="shared" si="3"/>
        <v>46109</v>
      </c>
      <c r="B88" s="3">
        <f t="shared" si="2"/>
        <v>2026</v>
      </c>
    </row>
    <row r="89" spans="1:2" x14ac:dyDescent="0.25">
      <c r="A89" s="5">
        <f t="shared" si="3"/>
        <v>46110</v>
      </c>
      <c r="B89" s="3">
        <f t="shared" si="2"/>
        <v>2026</v>
      </c>
    </row>
    <row r="90" spans="1:2" x14ac:dyDescent="0.25">
      <c r="A90" s="5">
        <f t="shared" si="3"/>
        <v>46111</v>
      </c>
      <c r="B90" s="3">
        <f t="shared" si="2"/>
        <v>2026</v>
      </c>
    </row>
    <row r="91" spans="1:2" x14ac:dyDescent="0.25">
      <c r="A91" s="5">
        <f t="shared" si="3"/>
        <v>46112</v>
      </c>
      <c r="B91" s="3">
        <f t="shared" si="2"/>
        <v>2026</v>
      </c>
    </row>
    <row r="92" spans="1:2" x14ac:dyDescent="0.25">
      <c r="A92" s="5">
        <f t="shared" si="3"/>
        <v>46113</v>
      </c>
      <c r="B92" s="3">
        <f t="shared" si="2"/>
        <v>2026</v>
      </c>
    </row>
    <row r="93" spans="1:2" x14ac:dyDescent="0.25">
      <c r="A93" s="5">
        <f t="shared" si="3"/>
        <v>46114</v>
      </c>
      <c r="B93" s="3">
        <f t="shared" si="2"/>
        <v>2026</v>
      </c>
    </row>
    <row r="94" spans="1:2" x14ac:dyDescent="0.25">
      <c r="A94" s="5">
        <f t="shared" si="3"/>
        <v>46115</v>
      </c>
      <c r="B94" s="3">
        <f t="shared" si="2"/>
        <v>2026</v>
      </c>
    </row>
    <row r="95" spans="1:2" x14ac:dyDescent="0.25">
      <c r="A95" s="5">
        <f t="shared" si="3"/>
        <v>46116</v>
      </c>
      <c r="B95" s="3">
        <f t="shared" si="2"/>
        <v>2026</v>
      </c>
    </row>
    <row r="96" spans="1:2" x14ac:dyDescent="0.25">
      <c r="A96" s="5">
        <f t="shared" si="3"/>
        <v>46117</v>
      </c>
      <c r="B96" s="3">
        <f t="shared" si="2"/>
        <v>2026</v>
      </c>
    </row>
    <row r="97" spans="1:2" x14ac:dyDescent="0.25">
      <c r="A97" s="5">
        <f t="shared" si="3"/>
        <v>46118</v>
      </c>
      <c r="B97" s="3">
        <f t="shared" si="2"/>
        <v>2026</v>
      </c>
    </row>
    <row r="98" spans="1:2" x14ac:dyDescent="0.25">
      <c r="A98" s="5">
        <f t="shared" si="3"/>
        <v>46119</v>
      </c>
      <c r="B98" s="3">
        <f t="shared" si="2"/>
        <v>2026</v>
      </c>
    </row>
    <row r="99" spans="1:2" x14ac:dyDescent="0.25">
      <c r="A99" s="5">
        <f t="shared" si="3"/>
        <v>46120</v>
      </c>
      <c r="B99" s="3">
        <f t="shared" si="2"/>
        <v>2026</v>
      </c>
    </row>
    <row r="100" spans="1:2" x14ac:dyDescent="0.25">
      <c r="A100" s="5">
        <f t="shared" si="3"/>
        <v>46121</v>
      </c>
      <c r="B100" s="3">
        <f t="shared" si="2"/>
        <v>2026</v>
      </c>
    </row>
    <row r="101" spans="1:2" x14ac:dyDescent="0.25">
      <c r="A101" s="5">
        <f t="shared" si="3"/>
        <v>46122</v>
      </c>
      <c r="B101" s="3">
        <f t="shared" si="2"/>
        <v>2026</v>
      </c>
    </row>
    <row r="102" spans="1:2" x14ac:dyDescent="0.25">
      <c r="A102" s="5">
        <f t="shared" si="3"/>
        <v>46123</v>
      </c>
      <c r="B102" s="3">
        <f t="shared" si="2"/>
        <v>2026</v>
      </c>
    </row>
    <row r="103" spans="1:2" x14ac:dyDescent="0.25">
      <c r="A103" s="5">
        <f t="shared" si="3"/>
        <v>46124</v>
      </c>
      <c r="B103" s="3">
        <f t="shared" si="2"/>
        <v>2026</v>
      </c>
    </row>
    <row r="104" spans="1:2" x14ac:dyDescent="0.25">
      <c r="A104" s="5">
        <f t="shared" si="3"/>
        <v>46125</v>
      </c>
      <c r="B104" s="3">
        <f t="shared" si="2"/>
        <v>2026</v>
      </c>
    </row>
    <row r="105" spans="1:2" x14ac:dyDescent="0.25">
      <c r="A105" s="5">
        <f t="shared" si="3"/>
        <v>46126</v>
      </c>
      <c r="B105" s="3">
        <f t="shared" si="2"/>
        <v>2026</v>
      </c>
    </row>
    <row r="106" spans="1:2" x14ac:dyDescent="0.25">
      <c r="A106" s="5">
        <f t="shared" si="3"/>
        <v>46127</v>
      </c>
      <c r="B106" s="3">
        <f t="shared" si="2"/>
        <v>2026</v>
      </c>
    </row>
    <row r="107" spans="1:2" x14ac:dyDescent="0.25">
      <c r="A107" s="5">
        <f t="shared" si="3"/>
        <v>46128</v>
      </c>
      <c r="B107" s="3">
        <f t="shared" si="2"/>
        <v>2026</v>
      </c>
    </row>
    <row r="108" spans="1:2" x14ac:dyDescent="0.25">
      <c r="A108" s="5">
        <f t="shared" si="3"/>
        <v>46129</v>
      </c>
      <c r="B108" s="3">
        <f t="shared" si="2"/>
        <v>2026</v>
      </c>
    </row>
    <row r="109" spans="1:2" x14ac:dyDescent="0.25">
      <c r="A109" s="5">
        <f t="shared" si="3"/>
        <v>46130</v>
      </c>
      <c r="B109" s="3">
        <f t="shared" si="2"/>
        <v>2026</v>
      </c>
    </row>
    <row r="110" spans="1:2" x14ac:dyDescent="0.25">
      <c r="A110" s="5">
        <f t="shared" si="3"/>
        <v>46131</v>
      </c>
      <c r="B110" s="3">
        <f t="shared" si="2"/>
        <v>2026</v>
      </c>
    </row>
    <row r="111" spans="1:2" x14ac:dyDescent="0.25">
      <c r="A111" s="5">
        <f t="shared" si="3"/>
        <v>46132</v>
      </c>
      <c r="B111" s="3">
        <f t="shared" si="2"/>
        <v>2026</v>
      </c>
    </row>
    <row r="112" spans="1:2" x14ac:dyDescent="0.25">
      <c r="A112" s="5">
        <f t="shared" si="3"/>
        <v>46133</v>
      </c>
      <c r="B112" s="3">
        <f t="shared" si="2"/>
        <v>2026</v>
      </c>
    </row>
    <row r="113" spans="1:2" x14ac:dyDescent="0.25">
      <c r="A113" s="5">
        <f t="shared" si="3"/>
        <v>46134</v>
      </c>
      <c r="B113" s="3">
        <f t="shared" si="2"/>
        <v>2026</v>
      </c>
    </row>
    <row r="114" spans="1:2" x14ac:dyDescent="0.25">
      <c r="A114" s="5">
        <f t="shared" si="3"/>
        <v>46135</v>
      </c>
      <c r="B114" s="3">
        <f t="shared" si="2"/>
        <v>2026</v>
      </c>
    </row>
    <row r="115" spans="1:2" x14ac:dyDescent="0.25">
      <c r="A115" s="5">
        <f t="shared" si="3"/>
        <v>46136</v>
      </c>
      <c r="B115" s="3">
        <f t="shared" si="2"/>
        <v>2026</v>
      </c>
    </row>
    <row r="116" spans="1:2" x14ac:dyDescent="0.25">
      <c r="A116" s="5">
        <f t="shared" si="3"/>
        <v>46137</v>
      </c>
      <c r="B116" s="3">
        <f t="shared" si="2"/>
        <v>2026</v>
      </c>
    </row>
    <row r="117" spans="1:2" x14ac:dyDescent="0.25">
      <c r="A117" s="5">
        <f t="shared" si="3"/>
        <v>46138</v>
      </c>
      <c r="B117" s="3">
        <f t="shared" si="2"/>
        <v>2026</v>
      </c>
    </row>
    <row r="118" spans="1:2" x14ac:dyDescent="0.25">
      <c r="A118" s="5">
        <f t="shared" si="3"/>
        <v>46139</v>
      </c>
      <c r="B118" s="3">
        <f t="shared" si="2"/>
        <v>2026</v>
      </c>
    </row>
    <row r="119" spans="1:2" x14ac:dyDescent="0.25">
      <c r="A119" s="5">
        <f t="shared" si="3"/>
        <v>46140</v>
      </c>
      <c r="B119" s="3">
        <f t="shared" si="2"/>
        <v>2026</v>
      </c>
    </row>
    <row r="120" spans="1:2" x14ac:dyDescent="0.25">
      <c r="A120" s="5">
        <f t="shared" si="3"/>
        <v>46141</v>
      </c>
      <c r="B120" s="3">
        <f t="shared" si="2"/>
        <v>2026</v>
      </c>
    </row>
    <row r="121" spans="1:2" x14ac:dyDescent="0.25">
      <c r="A121" s="5">
        <f>A120+1</f>
        <v>46142</v>
      </c>
      <c r="B121" s="3">
        <f t="shared" si="2"/>
        <v>2026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E092F-FA6A-46AD-B4BF-FD42414F4CA3}">
  <dimension ref="A1:B15"/>
  <sheetViews>
    <sheetView workbookViewId="0">
      <selection activeCell="F8" sqref="F8"/>
    </sheetView>
  </sheetViews>
  <sheetFormatPr baseColWidth="10" defaultRowHeight="15" x14ac:dyDescent="0.25"/>
  <cols>
    <col min="1" max="1" width="18.85546875" customWidth="1"/>
    <col min="2" max="2" width="20.28515625" customWidth="1"/>
  </cols>
  <sheetData>
    <row r="1" spans="1:2" x14ac:dyDescent="0.25">
      <c r="A1" s="8" t="s">
        <v>34</v>
      </c>
      <c r="B1" s="8"/>
    </row>
    <row r="3" spans="1:2" x14ac:dyDescent="0.25">
      <c r="A3" t="s">
        <v>35</v>
      </c>
      <c r="B3">
        <v>213700</v>
      </c>
    </row>
    <row r="4" spans="1:2" x14ac:dyDescent="0.25">
      <c r="A4" t="s">
        <v>36</v>
      </c>
      <c r="B4">
        <v>12348.471032565338</v>
      </c>
    </row>
    <row r="5" spans="1:2" x14ac:dyDescent="0.25">
      <c r="A5" t="s">
        <v>37</v>
      </c>
      <c r="B5">
        <v>210000</v>
      </c>
    </row>
    <row r="6" spans="1:2" x14ac:dyDescent="0.25">
      <c r="A6" t="s">
        <v>38</v>
      </c>
      <c r="B6">
        <v>180000</v>
      </c>
    </row>
    <row r="7" spans="1:2" x14ac:dyDescent="0.25">
      <c r="A7" t="s">
        <v>39</v>
      </c>
      <c r="B7">
        <v>55224.041294006231</v>
      </c>
    </row>
    <row r="8" spans="1:2" x14ac:dyDescent="0.25">
      <c r="A8" t="s">
        <v>40</v>
      </c>
      <c r="B8">
        <v>3049694736.8421054</v>
      </c>
    </row>
    <row r="9" spans="1:2" x14ac:dyDescent="0.25">
      <c r="A9" t="s">
        <v>41</v>
      </c>
      <c r="B9">
        <v>1.0906560722600416</v>
      </c>
    </row>
    <row r="10" spans="1:2" x14ac:dyDescent="0.25">
      <c r="A10" t="s">
        <v>42</v>
      </c>
      <c r="B10">
        <v>0.58018395971858794</v>
      </c>
    </row>
    <row r="11" spans="1:2" x14ac:dyDescent="0.25">
      <c r="A11" t="s">
        <v>43</v>
      </c>
      <c r="B11">
        <v>244000</v>
      </c>
    </row>
    <row r="12" spans="1:2" x14ac:dyDescent="0.25">
      <c r="A12" t="s">
        <v>44</v>
      </c>
      <c r="B12">
        <v>108000</v>
      </c>
    </row>
    <row r="13" spans="1:2" x14ac:dyDescent="0.25">
      <c r="A13" t="s">
        <v>45</v>
      </c>
      <c r="B13">
        <v>352000</v>
      </c>
    </row>
    <row r="14" spans="1:2" x14ac:dyDescent="0.25">
      <c r="A14" t="s">
        <v>46</v>
      </c>
      <c r="B14">
        <v>4274000</v>
      </c>
    </row>
    <row r="15" spans="1:2" ht="15.75" thickBot="1" x14ac:dyDescent="0.3">
      <c r="A15" s="6" t="s">
        <v>47</v>
      </c>
      <c r="B15" s="6">
        <v>20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D5CF2-3332-414C-87AE-01E39F43E7E4}">
  <sheetPr>
    <outlinePr summaryBelow="0"/>
  </sheetPr>
  <dimension ref="B1:G11"/>
  <sheetViews>
    <sheetView showGridLines="0" workbookViewId="0">
      <selection activeCell="J13" sqref="J13"/>
    </sheetView>
  </sheetViews>
  <sheetFormatPr baseColWidth="10" defaultRowHeight="15" outlineLevelRow="1" outlineLevelCol="1" x14ac:dyDescent="0.25"/>
  <cols>
    <col min="3" max="3" width="5.140625" bestFit="1" customWidth="1"/>
    <col min="4" max="7" width="13.5703125" bestFit="1" customWidth="1" outlineLevel="1"/>
  </cols>
  <sheetData>
    <row r="1" spans="2:7" ht="15.75" thickBot="1" x14ac:dyDescent="0.3"/>
    <row r="2" spans="2:7" ht="15.75" x14ac:dyDescent="0.25">
      <c r="B2" s="12" t="s">
        <v>59</v>
      </c>
      <c r="C2" s="12"/>
      <c r="D2" s="16"/>
      <c r="E2" s="16"/>
      <c r="F2" s="16"/>
      <c r="G2" s="16"/>
    </row>
    <row r="3" spans="2:7" ht="15.75" collapsed="1" x14ac:dyDescent="0.25">
      <c r="B3" s="11"/>
      <c r="C3" s="11"/>
      <c r="D3" s="17" t="s">
        <v>61</v>
      </c>
      <c r="E3" s="17" t="s">
        <v>55</v>
      </c>
      <c r="F3" s="17" t="s">
        <v>57</v>
      </c>
      <c r="G3" s="17" t="s">
        <v>58</v>
      </c>
    </row>
    <row r="4" spans="2:7" ht="33.75" hidden="1" outlineLevel="1" x14ac:dyDescent="0.25">
      <c r="B4" s="13"/>
      <c r="C4" s="13"/>
      <c r="E4" s="19" t="s">
        <v>56</v>
      </c>
      <c r="F4" s="19" t="s">
        <v>56</v>
      </c>
      <c r="G4" s="19" t="s">
        <v>56</v>
      </c>
    </row>
    <row r="5" spans="2:7" x14ac:dyDescent="0.25">
      <c r="B5" s="14" t="s">
        <v>60</v>
      </c>
      <c r="C5" s="14"/>
      <c r="D5" s="7"/>
      <c r="E5" s="7"/>
      <c r="F5" s="7"/>
      <c r="G5" s="7"/>
    </row>
    <row r="6" spans="2:7" outlineLevel="1" x14ac:dyDescent="0.25">
      <c r="B6" s="13"/>
      <c r="C6" s="13" t="s">
        <v>53</v>
      </c>
      <c r="D6">
        <v>0.9</v>
      </c>
      <c r="E6" s="18">
        <v>1.1000000000000001</v>
      </c>
      <c r="F6" s="18">
        <v>1</v>
      </c>
      <c r="G6" s="18">
        <v>0.9</v>
      </c>
    </row>
    <row r="7" spans="2:7" x14ac:dyDescent="0.25">
      <c r="B7" s="14" t="s">
        <v>62</v>
      </c>
      <c r="C7" s="14"/>
      <c r="D7" s="7"/>
      <c r="E7" s="7"/>
      <c r="F7" s="7"/>
      <c r="G7" s="7"/>
    </row>
    <row r="8" spans="2:7" ht="15.75" outlineLevel="1" thickBot="1" x14ac:dyDescent="0.3">
      <c r="B8" s="15"/>
      <c r="C8" s="15" t="s">
        <v>54</v>
      </c>
      <c r="D8" s="10">
        <v>1940300</v>
      </c>
      <c r="E8" s="10">
        <v>1421700</v>
      </c>
      <c r="F8" s="10">
        <v>1681000</v>
      </c>
      <c r="G8" s="10">
        <v>1940300</v>
      </c>
    </row>
    <row r="9" spans="2:7" x14ac:dyDescent="0.25">
      <c r="B9" t="s">
        <v>63</v>
      </c>
    </row>
    <row r="10" spans="2:7" x14ac:dyDescent="0.25">
      <c r="B10" t="s">
        <v>64</v>
      </c>
    </row>
    <row r="11" spans="2:7" x14ac:dyDescent="0.25">
      <c r="B11" t="s">
        <v>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5F453-EA2C-4D20-B40C-F780E72B6C92}">
  <dimension ref="A1:B8"/>
  <sheetViews>
    <sheetView workbookViewId="0">
      <selection activeCell="B6" sqref="B6"/>
    </sheetView>
  </sheetViews>
  <sheetFormatPr baseColWidth="10" defaultRowHeight="15" x14ac:dyDescent="0.25"/>
  <cols>
    <col min="1" max="1" width="25.5703125" customWidth="1"/>
  </cols>
  <sheetData>
    <row r="1" spans="1:2" x14ac:dyDescent="0.25">
      <c r="A1" t="s">
        <v>48</v>
      </c>
    </row>
    <row r="3" spans="1:2" x14ac:dyDescent="0.25">
      <c r="A3" t="s">
        <v>49</v>
      </c>
      <c r="B3">
        <v>0.9</v>
      </c>
    </row>
    <row r="4" spans="1:2" x14ac:dyDescent="0.25">
      <c r="A4" t="s">
        <v>50</v>
      </c>
      <c r="B4">
        <v>4274000</v>
      </c>
    </row>
    <row r="5" spans="1:2" x14ac:dyDescent="0.25">
      <c r="A5" t="s">
        <v>51</v>
      </c>
      <c r="B5">
        <f>2593000*B3</f>
        <v>2333700</v>
      </c>
    </row>
    <row r="6" spans="1:2" x14ac:dyDescent="0.25">
      <c r="A6" t="s">
        <v>52</v>
      </c>
      <c r="B6" s="9">
        <f>B4-B5</f>
        <v>1940300</v>
      </c>
    </row>
    <row r="8" spans="1:2" x14ac:dyDescent="0.25">
      <c r="B8" s="9"/>
    </row>
  </sheetData>
  <scenarios current="2" show="2" sqref="B6">
    <scenario name="Pesimista" locked="1" count="1" user="Juli Cabral" comment="Creado por Juli Cabral el 1/10/2026">
      <inputCells r="B3" val="1,1"/>
    </scenario>
    <scenario name="Base" locked="1" count="1" user="Juli Cabral" comment="Creado por Juli Cabral el 1/10/2026">
      <inputCells r="B3" val="1"/>
    </scenario>
    <scenario name="Optimista" locked="1" count="1" user="Juli Cabral" comment="Creado por Juli Cabral el 1/10/2026">
      <inputCells r="B3" val="0,9"/>
    </scenario>
  </scenario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FB01B-B7A1-4B4B-8CDE-D20A5ACFD33F}">
  <dimension ref="A1:A21"/>
  <sheetViews>
    <sheetView workbookViewId="0">
      <selection activeCell="F11" sqref="F11"/>
    </sheetView>
  </sheetViews>
  <sheetFormatPr baseColWidth="10" defaultRowHeight="15" x14ac:dyDescent="0.25"/>
  <sheetData>
    <row r="1" spans="1:1" x14ac:dyDescent="0.25">
      <c r="A1" t="s">
        <v>34</v>
      </c>
    </row>
    <row r="2" spans="1:1" x14ac:dyDescent="0.25">
      <c r="A2">
        <v>150000</v>
      </c>
    </row>
    <row r="3" spans="1:1" x14ac:dyDescent="0.25">
      <c r="A3">
        <v>176000</v>
      </c>
    </row>
    <row r="4" spans="1:1" x14ac:dyDescent="0.25">
      <c r="A4">
        <v>180000</v>
      </c>
    </row>
    <row r="5" spans="1:1" x14ac:dyDescent="0.25">
      <c r="A5">
        <v>180000</v>
      </c>
    </row>
    <row r="6" spans="1:1" x14ac:dyDescent="0.25">
      <c r="A6">
        <v>180000</v>
      </c>
    </row>
    <row r="7" spans="1:1" x14ac:dyDescent="0.25">
      <c r="A7">
        <v>198000</v>
      </c>
    </row>
    <row r="8" spans="1:1" x14ac:dyDescent="0.25">
      <c r="A8">
        <v>240000</v>
      </c>
    </row>
    <row r="9" spans="1:1" x14ac:dyDescent="0.25">
      <c r="A9">
        <v>210000</v>
      </c>
    </row>
    <row r="10" spans="1:1" x14ac:dyDescent="0.25">
      <c r="A10">
        <v>210000</v>
      </c>
    </row>
    <row r="11" spans="1:1" x14ac:dyDescent="0.25">
      <c r="A11">
        <v>242000</v>
      </c>
    </row>
    <row r="12" spans="1:1" x14ac:dyDescent="0.25">
      <c r="A12">
        <v>216000</v>
      </c>
    </row>
    <row r="13" spans="1:1" x14ac:dyDescent="0.25">
      <c r="A13">
        <v>300000</v>
      </c>
    </row>
    <row r="14" spans="1:1" x14ac:dyDescent="0.25">
      <c r="A14">
        <v>195000</v>
      </c>
    </row>
    <row r="15" spans="1:1" x14ac:dyDescent="0.25">
      <c r="A15">
        <v>352000</v>
      </c>
    </row>
    <row r="16" spans="1:1" x14ac:dyDescent="0.25">
      <c r="A16">
        <v>108000</v>
      </c>
    </row>
    <row r="17" spans="1:1" x14ac:dyDescent="0.25">
      <c r="A17">
        <v>150000</v>
      </c>
    </row>
    <row r="18" spans="1:1" x14ac:dyDescent="0.25">
      <c r="A18">
        <v>255000</v>
      </c>
    </row>
    <row r="19" spans="1:1" x14ac:dyDescent="0.25">
      <c r="A19">
        <v>264000</v>
      </c>
    </row>
    <row r="20" spans="1:1" x14ac:dyDescent="0.25">
      <c r="A20">
        <v>228000</v>
      </c>
    </row>
    <row r="21" spans="1:1" x14ac:dyDescent="0.25">
      <c r="A21">
        <v>240000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CBB19-9F27-480A-A227-43ECE344F195}">
  <dimension ref="A3:B9"/>
  <sheetViews>
    <sheetView workbookViewId="0">
      <selection activeCell="D10" sqref="D10"/>
    </sheetView>
  </sheetViews>
  <sheetFormatPr baseColWidth="10" defaultRowHeight="15" x14ac:dyDescent="0.25"/>
  <cols>
    <col min="1" max="1" width="17.85546875" bestFit="1" customWidth="1"/>
    <col min="2" max="2" width="19.7109375" bestFit="1" customWidth="1"/>
  </cols>
  <sheetData>
    <row r="3" spans="1:2" x14ac:dyDescent="0.25">
      <c r="A3" s="24" t="s">
        <v>79</v>
      </c>
      <c r="B3" t="s">
        <v>86</v>
      </c>
    </row>
    <row r="4" spans="1:2" x14ac:dyDescent="0.25">
      <c r="A4" s="25" t="s">
        <v>81</v>
      </c>
      <c r="B4" s="23">
        <v>866000</v>
      </c>
    </row>
    <row r="5" spans="1:2" x14ac:dyDescent="0.25">
      <c r="A5" s="25" t="s">
        <v>82</v>
      </c>
      <c r="B5" s="23">
        <v>858000</v>
      </c>
    </row>
    <row r="6" spans="1:2" x14ac:dyDescent="0.25">
      <c r="A6" s="25" t="s">
        <v>83</v>
      </c>
      <c r="B6" s="23">
        <v>953000</v>
      </c>
    </row>
    <row r="7" spans="1:2" x14ac:dyDescent="0.25">
      <c r="A7" s="25" t="s">
        <v>84</v>
      </c>
      <c r="B7" s="23">
        <v>865000</v>
      </c>
    </row>
    <row r="8" spans="1:2" x14ac:dyDescent="0.25">
      <c r="A8" s="25" t="s">
        <v>85</v>
      </c>
      <c r="B8" s="23">
        <v>732000</v>
      </c>
    </row>
    <row r="9" spans="1:2" x14ac:dyDescent="0.25">
      <c r="A9" s="25" t="s">
        <v>80</v>
      </c>
      <c r="B9" s="23">
        <v>4274000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03960-F05A-4B29-AB41-85F04B2A6278}">
  <dimension ref="A3:B7"/>
  <sheetViews>
    <sheetView workbookViewId="0">
      <selection activeCell="K7" sqref="K7"/>
    </sheetView>
  </sheetViews>
  <sheetFormatPr baseColWidth="10" defaultRowHeight="15" x14ac:dyDescent="0.25"/>
  <cols>
    <col min="1" max="1" width="17.85546875" bestFit="1" customWidth="1"/>
    <col min="2" max="2" width="19.7109375" bestFit="1" customWidth="1"/>
  </cols>
  <sheetData>
    <row r="3" spans="1:2" x14ac:dyDescent="0.25">
      <c r="A3" s="24" t="s">
        <v>79</v>
      </c>
      <c r="B3" t="s">
        <v>86</v>
      </c>
    </row>
    <row r="4" spans="1:2" x14ac:dyDescent="0.25">
      <c r="A4" s="25" t="s">
        <v>78</v>
      </c>
      <c r="B4" s="23">
        <v>1235000</v>
      </c>
    </row>
    <row r="5" spans="1:2" x14ac:dyDescent="0.25">
      <c r="A5" s="25" t="s">
        <v>76</v>
      </c>
      <c r="B5" s="23">
        <v>1801000</v>
      </c>
    </row>
    <row r="6" spans="1:2" x14ac:dyDescent="0.25">
      <c r="A6" s="25" t="s">
        <v>77</v>
      </c>
      <c r="B6" s="23">
        <v>1238000</v>
      </c>
    </row>
    <row r="7" spans="1:2" x14ac:dyDescent="0.25">
      <c r="A7" s="25" t="s">
        <v>80</v>
      </c>
      <c r="B7" s="23">
        <v>4274000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EAC44-23DB-4601-9A53-356F4E1FDCC9}">
  <dimension ref="A1:L64"/>
  <sheetViews>
    <sheetView showGridLines="0" topLeftCell="A70" workbookViewId="0">
      <selection activeCell="G83" sqref="G83"/>
    </sheetView>
  </sheetViews>
  <sheetFormatPr baseColWidth="10" defaultRowHeight="15" x14ac:dyDescent="0.25"/>
  <cols>
    <col min="2" max="2" width="17.85546875" customWidth="1"/>
    <col min="4" max="4" width="9.42578125" bestFit="1" customWidth="1"/>
    <col min="5" max="5" width="20.140625" customWidth="1"/>
    <col min="6" max="6" width="14.28515625" bestFit="1" customWidth="1"/>
    <col min="7" max="7" width="9.5703125" bestFit="1" customWidth="1"/>
    <col min="8" max="8" width="20.140625" customWidth="1"/>
    <col min="9" max="9" width="17" bestFit="1" customWidth="1"/>
    <col min="10" max="10" width="16.7109375" bestFit="1" customWidth="1"/>
    <col min="11" max="11" width="13.7109375" bestFit="1" customWidth="1"/>
    <col min="12" max="12" width="14" bestFit="1" customWidth="1"/>
  </cols>
  <sheetData>
    <row r="1" spans="1:12" x14ac:dyDescent="0.25">
      <c r="A1" t="s">
        <v>66</v>
      </c>
    </row>
    <row r="2" spans="1:12" ht="15.75" thickBot="1" x14ac:dyDescent="0.3">
      <c r="A2" t="s">
        <v>67</v>
      </c>
    </row>
    <row r="3" spans="1:12" ht="18.75" x14ac:dyDescent="0.3">
      <c r="B3" s="20" t="s">
        <v>68</v>
      </c>
      <c r="E3" s="20" t="s">
        <v>69</v>
      </c>
      <c r="H3" s="20" t="s">
        <v>70</v>
      </c>
    </row>
    <row r="4" spans="1:12" ht="15.75" thickBot="1" x14ac:dyDescent="0.3">
      <c r="B4" s="21">
        <v>4274000</v>
      </c>
      <c r="E4" s="21">
        <v>2593000</v>
      </c>
      <c r="H4" s="21">
        <v>1681000</v>
      </c>
    </row>
    <row r="8" spans="1:12" x14ac:dyDescent="0.25">
      <c r="D8" t="s">
        <v>32</v>
      </c>
      <c r="E8" t="s">
        <v>0</v>
      </c>
      <c r="F8" t="s">
        <v>22</v>
      </c>
      <c r="G8" t="s">
        <v>71</v>
      </c>
      <c r="H8" t="s">
        <v>72</v>
      </c>
      <c r="I8" t="s">
        <v>73</v>
      </c>
      <c r="J8" t="s">
        <v>74</v>
      </c>
      <c r="K8" t="s">
        <v>34</v>
      </c>
      <c r="L8" t="s">
        <v>75</v>
      </c>
    </row>
    <row r="9" spans="1:12" x14ac:dyDescent="0.25">
      <c r="D9" s="22">
        <v>46023</v>
      </c>
      <c r="E9" s="23" t="s">
        <v>2</v>
      </c>
      <c r="F9" s="23" t="s">
        <v>24</v>
      </c>
      <c r="G9" s="23" t="s">
        <v>76</v>
      </c>
      <c r="H9">
        <v>10</v>
      </c>
      <c r="I9">
        <v>15000</v>
      </c>
      <c r="J9">
        <v>9000</v>
      </c>
      <c r="K9">
        <v>150000</v>
      </c>
      <c r="L9">
        <v>90000</v>
      </c>
    </row>
    <row r="10" spans="1:12" x14ac:dyDescent="0.25">
      <c r="D10" s="22">
        <v>46027</v>
      </c>
      <c r="E10" s="23" t="s">
        <v>4</v>
      </c>
      <c r="F10" s="23" t="s">
        <v>26</v>
      </c>
      <c r="G10" s="23" t="s">
        <v>77</v>
      </c>
      <c r="H10">
        <v>8</v>
      </c>
      <c r="I10">
        <v>22000</v>
      </c>
      <c r="J10">
        <v>14000</v>
      </c>
      <c r="K10">
        <v>176000</v>
      </c>
      <c r="L10">
        <v>112000</v>
      </c>
    </row>
    <row r="11" spans="1:12" x14ac:dyDescent="0.25">
      <c r="D11" s="22">
        <v>46032</v>
      </c>
      <c r="E11" s="23" t="s">
        <v>6</v>
      </c>
      <c r="F11" s="23" t="s">
        <v>28</v>
      </c>
      <c r="G11" s="23" t="s">
        <v>78</v>
      </c>
      <c r="H11">
        <v>15</v>
      </c>
      <c r="I11">
        <v>12000</v>
      </c>
      <c r="J11">
        <v>7000</v>
      </c>
      <c r="K11">
        <v>180000</v>
      </c>
      <c r="L11">
        <v>105000</v>
      </c>
    </row>
    <row r="12" spans="1:12" x14ac:dyDescent="0.25">
      <c r="D12" s="22">
        <v>46037</v>
      </c>
      <c r="E12" s="23" t="s">
        <v>8</v>
      </c>
      <c r="F12" s="23" t="s">
        <v>24</v>
      </c>
      <c r="G12" s="23" t="s">
        <v>76</v>
      </c>
      <c r="H12">
        <v>12</v>
      </c>
      <c r="I12">
        <v>15000</v>
      </c>
      <c r="J12">
        <v>9000</v>
      </c>
      <c r="K12">
        <v>180000</v>
      </c>
      <c r="L12">
        <v>108000</v>
      </c>
    </row>
    <row r="13" spans="1:12" x14ac:dyDescent="0.25">
      <c r="D13" s="22">
        <v>46042</v>
      </c>
      <c r="E13" s="23" t="s">
        <v>10</v>
      </c>
      <c r="F13" s="23" t="s">
        <v>30</v>
      </c>
      <c r="G13" s="23" t="s">
        <v>77</v>
      </c>
      <c r="H13">
        <v>6</v>
      </c>
      <c r="I13">
        <v>30000</v>
      </c>
      <c r="J13">
        <v>18000</v>
      </c>
      <c r="K13">
        <v>180000</v>
      </c>
      <c r="L13">
        <v>108000</v>
      </c>
    </row>
    <row r="14" spans="1:12" x14ac:dyDescent="0.25">
      <c r="D14" s="22">
        <v>46055</v>
      </c>
      <c r="E14" s="23" t="s">
        <v>2</v>
      </c>
      <c r="F14" s="23" t="s">
        <v>26</v>
      </c>
      <c r="G14" s="23" t="s">
        <v>76</v>
      </c>
      <c r="H14">
        <v>9</v>
      </c>
      <c r="I14">
        <v>22000</v>
      </c>
      <c r="J14">
        <v>14000</v>
      </c>
      <c r="K14">
        <v>198000</v>
      </c>
      <c r="L14">
        <v>126000</v>
      </c>
    </row>
    <row r="15" spans="1:12" x14ac:dyDescent="0.25">
      <c r="D15" s="22">
        <v>46061</v>
      </c>
      <c r="E15" s="23" t="s">
        <v>12</v>
      </c>
      <c r="F15" s="23" t="s">
        <v>28</v>
      </c>
      <c r="G15" s="23" t="s">
        <v>78</v>
      </c>
      <c r="H15">
        <v>20</v>
      </c>
      <c r="I15">
        <v>12000</v>
      </c>
      <c r="J15">
        <v>7000</v>
      </c>
      <c r="K15">
        <v>240000</v>
      </c>
      <c r="L15">
        <v>140000</v>
      </c>
    </row>
    <row r="16" spans="1:12" x14ac:dyDescent="0.25">
      <c r="D16" s="22">
        <v>46067</v>
      </c>
      <c r="E16" s="23" t="s">
        <v>14</v>
      </c>
      <c r="F16" s="23" t="s">
        <v>30</v>
      </c>
      <c r="G16" s="23" t="s">
        <v>77</v>
      </c>
      <c r="H16">
        <v>7</v>
      </c>
      <c r="I16">
        <v>30000</v>
      </c>
      <c r="J16">
        <v>18000</v>
      </c>
      <c r="K16">
        <v>210000</v>
      </c>
      <c r="L16">
        <v>126000</v>
      </c>
    </row>
    <row r="17" spans="4:12" x14ac:dyDescent="0.25">
      <c r="D17" s="22">
        <v>46074</v>
      </c>
      <c r="E17" s="23" t="s">
        <v>4</v>
      </c>
      <c r="F17" s="23" t="s">
        <v>24</v>
      </c>
      <c r="G17" s="23" t="s">
        <v>76</v>
      </c>
      <c r="H17">
        <v>14</v>
      </c>
      <c r="I17">
        <v>15000</v>
      </c>
      <c r="J17">
        <v>9000</v>
      </c>
      <c r="K17">
        <v>210000</v>
      </c>
      <c r="L17">
        <v>126000</v>
      </c>
    </row>
    <row r="18" spans="4:12" x14ac:dyDescent="0.25">
      <c r="D18" s="22">
        <v>46084</v>
      </c>
      <c r="E18" s="23" t="s">
        <v>6</v>
      </c>
      <c r="F18" s="23" t="s">
        <v>26</v>
      </c>
      <c r="G18" s="23" t="s">
        <v>78</v>
      </c>
      <c r="H18">
        <v>11</v>
      </c>
      <c r="I18">
        <v>22000</v>
      </c>
      <c r="J18">
        <v>14000</v>
      </c>
      <c r="K18">
        <v>242000</v>
      </c>
      <c r="L18">
        <v>154000</v>
      </c>
    </row>
    <row r="19" spans="4:12" x14ac:dyDescent="0.25">
      <c r="D19" s="22">
        <v>46090</v>
      </c>
      <c r="E19" s="23" t="s">
        <v>16</v>
      </c>
      <c r="F19" s="23" t="s">
        <v>28</v>
      </c>
      <c r="G19" s="23" t="s">
        <v>76</v>
      </c>
      <c r="H19">
        <v>18</v>
      </c>
      <c r="I19">
        <v>12000</v>
      </c>
      <c r="J19">
        <v>7000</v>
      </c>
      <c r="K19">
        <v>216000</v>
      </c>
      <c r="L19">
        <v>126000</v>
      </c>
    </row>
    <row r="20" spans="4:12" x14ac:dyDescent="0.25">
      <c r="D20" s="22">
        <v>46098</v>
      </c>
      <c r="E20" s="23" t="s">
        <v>10</v>
      </c>
      <c r="F20" s="23" t="s">
        <v>30</v>
      </c>
      <c r="G20" s="23" t="s">
        <v>77</v>
      </c>
      <c r="H20">
        <v>10</v>
      </c>
      <c r="I20">
        <v>30000</v>
      </c>
      <c r="J20">
        <v>18000</v>
      </c>
      <c r="K20">
        <v>300000</v>
      </c>
      <c r="L20">
        <v>180000</v>
      </c>
    </row>
    <row r="21" spans="4:12" x14ac:dyDescent="0.25">
      <c r="D21" s="22">
        <v>46106</v>
      </c>
      <c r="E21" s="23" t="s">
        <v>18</v>
      </c>
      <c r="F21" s="23" t="s">
        <v>24</v>
      </c>
      <c r="G21" s="23" t="s">
        <v>78</v>
      </c>
      <c r="H21">
        <v>13</v>
      </c>
      <c r="I21">
        <v>15000</v>
      </c>
      <c r="J21">
        <v>9000</v>
      </c>
      <c r="K21">
        <v>195000</v>
      </c>
      <c r="L21">
        <v>117000</v>
      </c>
    </row>
    <row r="22" spans="4:12" x14ac:dyDescent="0.25">
      <c r="D22" s="22">
        <v>46116</v>
      </c>
      <c r="E22" s="23" t="s">
        <v>20</v>
      </c>
      <c r="F22" s="23" t="s">
        <v>26</v>
      </c>
      <c r="G22" s="23" t="s">
        <v>76</v>
      </c>
      <c r="H22">
        <v>16</v>
      </c>
      <c r="I22">
        <v>22000</v>
      </c>
      <c r="J22">
        <v>14000</v>
      </c>
      <c r="K22">
        <v>352000</v>
      </c>
      <c r="L22">
        <v>224000</v>
      </c>
    </row>
    <row r="23" spans="4:12" x14ac:dyDescent="0.25">
      <c r="D23" s="22">
        <v>46123</v>
      </c>
      <c r="E23" s="23" t="s">
        <v>12</v>
      </c>
      <c r="F23" s="23" t="s">
        <v>28</v>
      </c>
      <c r="G23" s="23" t="s">
        <v>77</v>
      </c>
      <c r="H23">
        <v>9</v>
      </c>
      <c r="I23">
        <v>12000</v>
      </c>
      <c r="J23">
        <v>7000</v>
      </c>
      <c r="K23">
        <v>108000</v>
      </c>
      <c r="L23">
        <v>63000</v>
      </c>
    </row>
    <row r="24" spans="4:12" x14ac:dyDescent="0.25">
      <c r="D24" s="22">
        <v>46130</v>
      </c>
      <c r="E24" s="23" t="s">
        <v>8</v>
      </c>
      <c r="F24" s="23" t="s">
        <v>30</v>
      </c>
      <c r="G24" s="23" t="s">
        <v>78</v>
      </c>
      <c r="H24">
        <v>5</v>
      </c>
      <c r="I24">
        <v>30000</v>
      </c>
      <c r="J24">
        <v>18000</v>
      </c>
      <c r="K24">
        <v>150000</v>
      </c>
      <c r="L24">
        <v>90000</v>
      </c>
    </row>
    <row r="25" spans="4:12" x14ac:dyDescent="0.25">
      <c r="D25" s="22">
        <v>46138</v>
      </c>
      <c r="E25" s="23" t="s">
        <v>14</v>
      </c>
      <c r="F25" s="23" t="s">
        <v>24</v>
      </c>
      <c r="G25" s="23" t="s">
        <v>76</v>
      </c>
      <c r="H25">
        <v>17</v>
      </c>
      <c r="I25">
        <v>15000</v>
      </c>
      <c r="J25">
        <v>9000</v>
      </c>
      <c r="K25">
        <v>255000</v>
      </c>
      <c r="L25">
        <v>153000</v>
      </c>
    </row>
    <row r="26" spans="4:12" x14ac:dyDescent="0.25">
      <c r="D26" s="22">
        <v>46147</v>
      </c>
      <c r="E26" s="23" t="s">
        <v>16</v>
      </c>
      <c r="F26" s="23" t="s">
        <v>26</v>
      </c>
      <c r="G26" s="23" t="s">
        <v>77</v>
      </c>
      <c r="H26">
        <v>12</v>
      </c>
      <c r="I26">
        <v>22000</v>
      </c>
      <c r="J26">
        <v>14000</v>
      </c>
      <c r="K26">
        <v>264000</v>
      </c>
      <c r="L26">
        <v>168000</v>
      </c>
    </row>
    <row r="27" spans="4:12" x14ac:dyDescent="0.25">
      <c r="D27" s="22">
        <v>46154</v>
      </c>
      <c r="E27" s="23" t="s">
        <v>18</v>
      </c>
      <c r="F27" s="23" t="s">
        <v>28</v>
      </c>
      <c r="G27" s="23" t="s">
        <v>78</v>
      </c>
      <c r="H27">
        <v>19</v>
      </c>
      <c r="I27">
        <v>12000</v>
      </c>
      <c r="J27">
        <v>7000</v>
      </c>
      <c r="K27">
        <v>228000</v>
      </c>
      <c r="L27">
        <v>133000</v>
      </c>
    </row>
    <row r="28" spans="4:12" x14ac:dyDescent="0.25">
      <c r="D28" s="22">
        <v>46162</v>
      </c>
      <c r="E28" s="23" t="s">
        <v>20</v>
      </c>
      <c r="F28" s="23" t="s">
        <v>30</v>
      </c>
      <c r="G28" s="23" t="s">
        <v>76</v>
      </c>
      <c r="H28">
        <v>8</v>
      </c>
      <c r="I28">
        <v>30000</v>
      </c>
      <c r="J28">
        <v>18000</v>
      </c>
      <c r="K28">
        <v>240000</v>
      </c>
      <c r="L28">
        <v>144000</v>
      </c>
    </row>
    <row r="60" spans="1:2" x14ac:dyDescent="0.25">
      <c r="A60" s="1"/>
      <c r="B60" s="4"/>
    </row>
    <row r="61" spans="1:2" x14ac:dyDescent="0.25">
      <c r="A61" s="26" t="s">
        <v>87</v>
      </c>
      <c r="B61" s="4" t="s">
        <v>88</v>
      </c>
    </row>
    <row r="62" spans="1:2" x14ac:dyDescent="0.25">
      <c r="A62" s="2" t="s">
        <v>89</v>
      </c>
      <c r="B62" s="3">
        <v>4274000</v>
      </c>
    </row>
    <row r="63" spans="1:2" x14ac:dyDescent="0.25">
      <c r="A63" s="2" t="s">
        <v>90</v>
      </c>
      <c r="B63" s="3">
        <v>-2593000</v>
      </c>
    </row>
    <row r="64" spans="1:2" ht="30" x14ac:dyDescent="0.25">
      <c r="A64" s="2" t="s">
        <v>52</v>
      </c>
      <c r="B64" s="3">
        <v>1681000</v>
      </c>
    </row>
  </sheetData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0CA06-771E-407A-924C-F0A4F98F543E}">
  <dimension ref="A1:A10"/>
  <sheetViews>
    <sheetView tabSelected="1" workbookViewId="0">
      <selection activeCell="A10" sqref="A10"/>
    </sheetView>
  </sheetViews>
  <sheetFormatPr baseColWidth="10" defaultRowHeight="15" x14ac:dyDescent="0.25"/>
  <cols>
    <col min="1" max="1" width="36.42578125" customWidth="1"/>
  </cols>
  <sheetData>
    <row r="1" spans="1:1" x14ac:dyDescent="0.25">
      <c r="A1" t="s">
        <v>91</v>
      </c>
    </row>
    <row r="3" spans="1:1" x14ac:dyDescent="0.25">
      <c r="A3" t="s">
        <v>92</v>
      </c>
    </row>
    <row r="4" spans="1:1" x14ac:dyDescent="0.25">
      <c r="A4" s="27" t="s">
        <v>93</v>
      </c>
    </row>
    <row r="6" spans="1:1" x14ac:dyDescent="0.25">
      <c r="A6" t="s">
        <v>94</v>
      </c>
    </row>
    <row r="7" spans="1:1" x14ac:dyDescent="0.25">
      <c r="A7" t="s">
        <v>95</v>
      </c>
    </row>
    <row r="9" spans="1:1" x14ac:dyDescent="0.25">
      <c r="A9" t="s">
        <v>96</v>
      </c>
    </row>
    <row r="10" spans="1:1" x14ac:dyDescent="0.25">
      <c r="A10" t="s">
        <v>97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0BB0CD66-8039-47BA-B116-6337E85A29A7}">
  <ds:schemaRefs/>
</ds:datastoreItem>
</file>

<file path=customXml/itemProps2.xml><?xml version="1.0" encoding="utf-8"?>
<ds:datastoreItem xmlns:ds="http://schemas.openxmlformats.org/officeDocument/2006/customXml" ds:itemID="{254DC58F-B30A-4B46-862B-63FD1D3A1377}">
  <ds:schemaRefs/>
</ds:datastoreItem>
</file>

<file path=customXml/itemProps3.xml><?xml version="1.0" encoding="utf-8"?>
<ds:datastoreItem xmlns:ds="http://schemas.openxmlformats.org/officeDocument/2006/customXml" ds:itemID="{111B81A7-C6F4-48B4-AD10-9546FE266FEF}">
  <ds:schemaRefs/>
</ds:datastoreItem>
</file>

<file path=customXml/itemProps4.xml><?xml version="1.0" encoding="utf-8"?>
<ds:datastoreItem xmlns:ds="http://schemas.openxmlformats.org/officeDocument/2006/customXml" ds:itemID="{6EC58605-D640-4255-AA98-DD577D0698DD}">
  <ds:schemaRefs/>
</ds:datastoreItem>
</file>

<file path=customXml/itemProps5.xml><?xml version="1.0" encoding="utf-8"?>
<ds:datastoreItem xmlns:ds="http://schemas.openxmlformats.org/officeDocument/2006/customXml" ds:itemID="{D308AB5B-0A53-447E-96B2-A144114C3CD5}">
  <ds:schemaRefs/>
</ds:datastoreItem>
</file>

<file path=customXml/itemProps6.xml><?xml version="1.0" encoding="utf-8"?>
<ds:datastoreItem xmlns:ds="http://schemas.openxmlformats.org/officeDocument/2006/customXml" ds:itemID="{C108AE79-A22D-43F9-BD4A-F295DE21C844}">
  <ds:schemaRefs/>
</ds:datastoreItem>
</file>

<file path=customXml/itemProps7.xml><?xml version="1.0" encoding="utf-8"?>
<ds:datastoreItem xmlns:ds="http://schemas.openxmlformats.org/officeDocument/2006/customXml" ds:itemID="{7D18425A-3519-4D0C-9938-4CC14AB37CC7}">
  <ds:schemaRefs/>
</ds:datastoreItem>
</file>

<file path=customXml/itemProps8.xml><?xml version="1.0" encoding="utf-8"?>
<ds:datastoreItem xmlns:ds="http://schemas.openxmlformats.org/officeDocument/2006/customXml" ds:itemID="{0D55B081-1CFD-4FEF-BF15-2AE4F26CD8E9}">
  <ds:schemaRefs/>
</ds:datastoreItem>
</file>

<file path=customXml/itemProps9.xml><?xml version="1.0" encoding="utf-8"?>
<ds:datastoreItem xmlns:ds="http://schemas.openxmlformats.org/officeDocument/2006/customXml" ds:itemID="{C7BC1414-5733-46E5-97A1-AFF0E11BDB1D}">
  <ds:schemaRefs/>
</ds:datastoreItem>
</file>

<file path=customXml/itemProps10.xml><?xml version="1.0" encoding="utf-8"?>
<ds:datastoreItem xmlns:ds="http://schemas.openxmlformats.org/officeDocument/2006/customXml" ds:itemID="{09C8F90D-3000-479B-8BA8-B9B32E9B8241}">
  <ds:schemaRefs/>
</ds:datastoreItem>
</file>

<file path=customXml/itemProps11.xml><?xml version="1.0" encoding="utf-8"?>
<ds:datastoreItem xmlns:ds="http://schemas.openxmlformats.org/officeDocument/2006/customXml" ds:itemID="{BD7932F4-2B15-4B03-A743-ECF2E839AAA5}">
  <ds:schemaRefs/>
</ds:datastoreItem>
</file>

<file path=customXml/itemProps12.xml><?xml version="1.0" encoding="utf-8"?>
<ds:datastoreItem xmlns:ds="http://schemas.openxmlformats.org/officeDocument/2006/customXml" ds:itemID="{289D345F-3029-4BD2-9534-FDF2087F969F}">
  <ds:schemaRefs/>
</ds:datastoreItem>
</file>

<file path=customXml/itemProps13.xml><?xml version="1.0" encoding="utf-8"?>
<ds:datastoreItem xmlns:ds="http://schemas.openxmlformats.org/officeDocument/2006/customXml" ds:itemID="{9E57B83D-5220-4928-8A37-53472097C1AE}">
  <ds:schemaRefs/>
</ds:datastoreItem>
</file>

<file path=customXml/itemProps14.xml><?xml version="1.0" encoding="utf-8"?>
<ds:datastoreItem xmlns:ds="http://schemas.openxmlformats.org/officeDocument/2006/customXml" ds:itemID="{9FDF8E47-75DE-44D6-8046-9637D60C0D50}">
  <ds:schemaRefs/>
</ds:datastoreItem>
</file>

<file path=customXml/itemProps15.xml><?xml version="1.0" encoding="utf-8"?>
<ds:datastoreItem xmlns:ds="http://schemas.openxmlformats.org/officeDocument/2006/customXml" ds:itemID="{FBE2FE12-0549-41CB-8DE9-0B713CD024CB}">
  <ds:schemaRefs/>
</ds:datastoreItem>
</file>

<file path=customXml/itemProps16.xml><?xml version="1.0" encoding="utf-8"?>
<ds:datastoreItem xmlns:ds="http://schemas.openxmlformats.org/officeDocument/2006/customXml" ds:itemID="{C8E76358-5F37-45CE-ADB1-17FCFB8B7B71}">
  <ds:schemaRefs/>
</ds:datastoreItem>
</file>

<file path=customXml/itemProps17.xml><?xml version="1.0" encoding="utf-8"?>
<ds:datastoreItem xmlns:ds="http://schemas.openxmlformats.org/officeDocument/2006/customXml" ds:itemID="{7AC0431A-9765-453C-95E7-4A0EFC933CE7}">
  <ds:schemaRefs/>
</ds:datastoreItem>
</file>

<file path=customXml/itemProps18.xml><?xml version="1.0" encoding="utf-8"?>
<ds:datastoreItem xmlns:ds="http://schemas.openxmlformats.org/officeDocument/2006/customXml" ds:itemID="{121260DD-D901-4F1F-B10E-ACF15700986B}">
  <ds:schemaRefs/>
</ds:datastoreItem>
</file>

<file path=customXml/itemProps19.xml><?xml version="1.0" encoding="utf-8"?>
<ds:datastoreItem xmlns:ds="http://schemas.openxmlformats.org/officeDocument/2006/customXml" ds:itemID="{356CDCFA-499C-4D7A-9F5C-7B312A984276}">
  <ds:schemaRefs/>
</ds:datastoreItem>
</file>

<file path=customXml/itemProps20.xml><?xml version="1.0" encoding="utf-8"?>
<ds:datastoreItem xmlns:ds="http://schemas.openxmlformats.org/officeDocument/2006/customXml" ds:itemID="{C0438A54-0D9F-4D29-9827-28632845F20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Dim_Clientes</vt:lpstr>
      <vt:lpstr>Dim_Productos</vt:lpstr>
      <vt:lpstr>Dim_Calendario</vt:lpstr>
      <vt:lpstr>Hoja6</vt:lpstr>
      <vt:lpstr>Resumen del escenario</vt:lpstr>
      <vt:lpstr>Resumen_EscenariosSIMULACIÓN DE</vt:lpstr>
      <vt:lpstr>Estadistica_DescriptivaVenta_To</vt:lpstr>
      <vt:lpstr>Hoja3</vt:lpstr>
      <vt:lpstr>Hoja4</vt:lpstr>
      <vt:lpstr>Dashboard Final</vt:lpstr>
      <vt:lpstr>IA_Analisis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Julieta Cabral</dc:creator>
  <cp:lastModifiedBy>Julieta Cabral</cp:lastModifiedBy>
  <dcterms:created xsi:type="dcterms:W3CDTF">2026-09-30T02:08:55Z</dcterms:created>
  <dcterms:modified xsi:type="dcterms:W3CDTF">2026-10-02T03:13:11Z</dcterms:modified>
</cp:coreProperties>
</file>